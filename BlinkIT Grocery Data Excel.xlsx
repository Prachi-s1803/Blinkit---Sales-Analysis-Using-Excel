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rachi\OneDrive\Desktop\Data Analyst\Projects\Blinkit sales excel project\"/>
    </mc:Choice>
  </mc:AlternateContent>
  <bookViews>
    <workbookView xWindow="0" yWindow="0" windowWidth="23040" windowHeight="9072" activeTab="1"/>
  </bookViews>
  <sheets>
    <sheet name="SheetsDesign" sheetId="2" r:id="rId1"/>
    <sheet name="Dashboard" sheetId="3" r:id="rId2"/>
    <sheet name="BlinkIT Grocery Data" sheetId="1" r:id="rId3"/>
  </sheets>
  <definedNames>
    <definedName name="Slicer_Item_Type">#N/A</definedName>
    <definedName name="Slicer_Outlet_Location_Type">#N/A</definedName>
    <definedName name="Slicer_Outlet_Size">#N/A</definedName>
  </definedNames>
  <calcPr calcId="162913"/>
  <pivotCaches>
    <pivotCache cacheId="14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94" i="2" l="1"/>
  <c r="E93" i="2"/>
  <c r="E92" i="2"/>
  <c r="C7" i="2"/>
  <c r="D7" i="2"/>
  <c r="B7" i="2"/>
  <c r="A7" i="2"/>
</calcChain>
</file>

<file path=xl/sharedStrings.xml><?xml version="1.0" encoding="utf-8"?>
<sst xmlns="http://schemas.openxmlformats.org/spreadsheetml/2006/main" count="59743" uniqueCount="1630">
  <si>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</si>
  <si>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</si>
  <si>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</si>
  <si>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</si>
  <si>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</si>
  <si>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</si>
  <si>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</si>
  <si>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</si>
  <si>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</si>
  <si>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</si>
  <si>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</si>
  <si>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</si>
  <si>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</si>
  <si>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</si>
  <si>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</si>
  <si>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</si>
  <si>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</si>
  <si>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</si>
  <si>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</si>
  <si>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</si>
  <si>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</si>
  <si>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</si>
  <si>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</si>
  <si>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</si>
  <si>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</si>
  <si>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</si>
  <si>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</si>
  <si>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</si>
  <si>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</si>
  <si>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</si>
  <si>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</si>
  <si>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</si>
  <si>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</si>
  <si>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</si>
  <si>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</si>
  <si>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</si>
  <si>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</si>
  <si>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</si>
  <si>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</si>
  <si>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</si>
  <si>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</si>
  <si>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</si>
  <si>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</si>
  <si>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</si>
  <si>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</si>
  <si>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</si>
  <si>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</si>
  <si>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</si>
  <si>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</si>
  <si>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</si>
  <si>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</si>
  <si>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</si>
  <si>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</si>
  <si>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</si>
  <si>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</si>
  <si>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</si>
  <si>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</si>
  <si>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</si>
  <si>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</si>
  <si>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</si>
  <si>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</si>
  <si>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</si>
  <si>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</si>
  <si>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</si>
  <si>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</si>
  <si>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</si>
  <si>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</si>
  <si>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</si>
  <si>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</si>
  <si>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</si>
  <si>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</si>
  <si>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</si>
  <si>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</si>
  <si>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</si>
  <si>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</si>
  <si>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</si>
  <si>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</si>
  <si>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</si>
  <si>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</si>
  <si>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</si>
  <si>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</si>
  <si>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</si>
  <si>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</si>
  <si>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</si>
  <si>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</si>
  <si>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</si>
  <si>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</si>
  <si>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</si>
  <si>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</si>
  <si>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</si>
  <si>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</si>
  <si>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</si>
  <si>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</si>
  <si>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</si>
  <si>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</si>
  <si>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</si>
  <si>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</si>
  <si>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</si>
  <si>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</si>
  <si>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</si>
  <si>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</si>
  <si>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</si>
  <si>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</si>
  <si>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</si>
  <si>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</si>
  <si>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</si>
  <si>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</si>
  <si>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</si>
  <si>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</si>
  <si>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</si>
  <si>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</si>
  <si>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</si>
  <si>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</si>
  <si>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</si>
  <si>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</si>
  <si>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</si>
  <si>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</si>
  <si>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</si>
  <si>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</si>
  <si>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</si>
  <si>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</si>
  <si>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</si>
  <si>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</si>
  <si>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</si>
  <si>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</si>
  <si>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</si>
  <si>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</si>
  <si>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</si>
  <si>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</si>
  <si>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</si>
  <si>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</si>
  <si>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</si>
  <si>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</si>
  <si>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</si>
  <si>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</si>
  <si>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</si>
  <si>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</si>
  <si>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</si>
  <si>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</si>
  <si>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</si>
  <si>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</si>
  <si>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</si>
  <si>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</si>
  <si>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</si>
  <si>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</si>
  <si>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</si>
  <si>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</si>
  <si>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</si>
  <si>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</si>
  <si>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</si>
  <si>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</si>
  <si>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</si>
  <si>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</si>
  <si>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</si>
  <si>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</si>
  <si>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</si>
  <si>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</si>
  <si>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</si>
  <si>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</si>
  <si>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</si>
  <si>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</si>
  <si>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</si>
  <si>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</si>
  <si>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</si>
  <si>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</si>
  <si>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</si>
  <si>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</si>
  <si>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</si>
  <si>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</si>
  <si>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</si>
  <si>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</si>
  <si>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</si>
  <si>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</si>
  <si>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</si>
  <si>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</si>
  <si>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</si>
  <si>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</si>
  <si>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</si>
  <si>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</si>
  <si>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</si>
  <si>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</si>
  <si>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</si>
  <si>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</si>
  <si>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</si>
  <si>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</si>
  <si>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</si>
  <si>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</si>
  <si>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</si>
  <si>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</si>
  <si>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</si>
  <si>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</si>
  <si>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</si>
  <si>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</si>
  <si>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</si>
  <si>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</si>
  <si>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</si>
  <si>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</si>
  <si>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</si>
  <si>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</si>
  <si>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</si>
  <si>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</si>
  <si>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</si>
  <si>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</si>
  <si>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</si>
  <si>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</si>
  <si>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</si>
  <si>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</si>
  <si>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</si>
  <si>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</si>
  <si>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</si>
  <si>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</si>
  <si>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</si>
  <si>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</si>
  <si>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</si>
  <si>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</si>
  <si>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</si>
  <si>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</si>
  <si>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</si>
  <si>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</si>
  <si>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</si>
  <si>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</si>
  <si>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</si>
  <si>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</si>
  <si>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</si>
  <si>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</si>
  <si>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</si>
  <si>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</si>
  <si>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</si>
  <si>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</si>
  <si>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</si>
  <si>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</si>
  <si>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</si>
  <si>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</si>
  <si>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</si>
  <si>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</si>
  <si>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</si>
  <si>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</si>
  <si>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</si>
  <si>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</si>
  <si>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</si>
  <si>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</si>
  <si>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</si>
  <si>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</si>
  <si>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</si>
  <si>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</si>
  <si>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</si>
  <si>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</si>
  <si>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</si>
  <si>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</si>
  <si>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</si>
  <si>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</si>
  <si>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</si>
  <si>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</si>
  <si>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</si>
  <si>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</si>
  <si>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</si>
  <si>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</si>
  <si>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</si>
  <si>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</si>
  <si>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</si>
  <si>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</si>
  <si>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</si>
  <si>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</si>
  <si>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</si>
  <si>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</si>
  <si>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</si>
  <si>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</si>
  <si>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</si>
  <si>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</si>
  <si>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</si>
  <si>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</si>
  <si>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</si>
  <si>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</si>
  <si>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</si>
  <si>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</si>
  <si>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</si>
  <si>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</si>
  <si>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</si>
  <si>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</si>
  <si>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</si>
  <si>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</si>
  <si>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</si>
  <si>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</si>
  <si>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</si>
  <si>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</si>
  <si>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</si>
  <si>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</si>
  <si>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</si>
  <si>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</si>
  <si>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</si>
  <si>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</si>
  <si>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</si>
  <si>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</si>
  <si>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</si>
  <si>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</si>
  <si>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</si>
  <si>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</si>
  <si>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</si>
  <si>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</si>
  <si>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</si>
  <si>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</si>
  <si>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</si>
  <si>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</si>
  <si>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</si>
  <si>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</si>
  <si>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</si>
  <si>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</si>
  <si>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</si>
  <si>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</si>
  <si>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</si>
  <si>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</si>
  <si>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</si>
  <si>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</si>
  <si>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</si>
  <si>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</si>
  <si>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</si>
  <si>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</si>
  <si>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</si>
  <si>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</si>
  <si>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</si>
  <si>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</si>
  <si>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</si>
  <si>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</si>
  <si>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</si>
  <si>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</si>
  <si>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</si>
  <si>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</si>
  <si>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</si>
  <si>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</si>
  <si>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</si>
  <si>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</si>
  <si>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</si>
  <si>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</si>
  <si>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</si>
  <si>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</si>
  <si>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</si>
  <si>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</si>
  <si>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</si>
  <si>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</si>
  <si>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</si>
  <si>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</si>
  <si>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</si>
  <si>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</si>
  <si>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</si>
  <si>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</si>
  <si>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</si>
  <si>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</si>
  <si>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</si>
  <si>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</si>
  <si>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</si>
  <si>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</si>
  <si>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</si>
  <si>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</si>
  <si>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</si>
  <si>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</si>
  <si>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</si>
  <si>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</si>
  <si>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</si>
  <si>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</si>
  <si>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</si>
  <si>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</si>
  <si>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</si>
  <si>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</si>
  <si>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</si>
  <si>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</si>
  <si>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</si>
  <si>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</si>
  <si>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</si>
  <si>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</si>
  <si>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</si>
  <si>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</si>
  <si>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</si>
  <si>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</si>
  <si>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</si>
  <si>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</si>
  <si>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</si>
  <si>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</si>
  <si>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</si>
  <si>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</si>
  <si>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</si>
  <si>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</si>
  <si>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</si>
  <si>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</si>
  <si>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</si>
  <si>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</si>
  <si>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</si>
  <si>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</si>
  <si>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</si>
  <si>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</si>
  <si>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</si>
  <si>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</si>
  <si>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</si>
  <si>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</si>
  <si>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</si>
  <si>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</si>
  <si>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</si>
  <si>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</si>
  <si>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</si>
  <si>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</si>
  <si>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</si>
  <si>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</si>
  <si>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</si>
  <si>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</si>
  <si>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</si>
  <si>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</si>
  <si>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</si>
  <si>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</si>
  <si>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</si>
  <si>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</si>
  <si>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</si>
  <si>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</si>
  <si>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</si>
  <si>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</si>
  <si>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</si>
  <si>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</si>
  <si>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</si>
  <si>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</si>
  <si>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</si>
  <si>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</si>
  <si>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</si>
  <si>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</si>
  <si>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</si>
  <si>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</si>
  <si>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</si>
  <si>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</si>
  <si>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</si>
  <si>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</si>
  <si>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</si>
  <si>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</si>
  <si>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</si>
  <si>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</si>
  <si>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</si>
  <si>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</si>
  <si>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</si>
  <si>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</si>
  <si>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</si>
  <si>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</si>
  <si>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</si>
  <si>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</si>
  <si>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</si>
  <si>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</si>
  <si>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</si>
  <si>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</si>
  <si>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</si>
  <si>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</si>
  <si>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</si>
  <si>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</si>
  <si>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</si>
  <si>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</si>
  <si>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</si>
  <si>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</si>
  <si>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</si>
  <si>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</si>
  <si>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</si>
  <si>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</si>
  <si>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</si>
  <si>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</si>
  <si>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</si>
  <si>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</si>
  <si>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</si>
  <si>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</si>
  <si>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</si>
  <si>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</si>
  <si>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</si>
  <si>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</si>
  <si>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</si>
  <si>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</si>
  <si>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</si>
  <si>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</si>
  <si>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</si>
  <si>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</si>
  <si>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</si>
  <si>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</si>
  <si>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</si>
  <si>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</si>
  <si>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</si>
  <si>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</si>
  <si>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</si>
  <si>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</si>
  <si>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</si>
  <si>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</si>
  <si>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</si>
  <si>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</si>
  <si>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</si>
  <si>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</si>
  <si>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</si>
  <si>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</si>
  <si>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</si>
  <si>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</si>
  <si>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</si>
  <si>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</si>
  <si>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</si>
  <si>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</si>
  <si>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</si>
  <si>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</si>
  <si>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</si>
  <si>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</si>
  <si>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</si>
  <si>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</si>
  <si>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</si>
  <si>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</si>
  <si>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</si>
  <si>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</si>
  <si>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</si>
  <si>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</si>
  <si>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</si>
  <si>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</si>
  <si>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</si>
  <si>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</si>
  <si>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</si>
  <si>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</si>
  <si>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</si>
  <si>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</si>
  <si>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</si>
  <si>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</si>
  <si>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</si>
  <si>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</si>
  <si>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</si>
  <si>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</si>
  <si>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</si>
  <si>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</si>
  <si>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</si>
  <si>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</si>
  <si>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</si>
  <si>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</si>
  <si>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</si>
  <si>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</si>
  <si>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</si>
  <si>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</si>
  <si>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</si>
  <si>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</si>
  <si>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</si>
  <si>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</si>
  <si>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</si>
  <si>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</si>
  <si>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</si>
  <si>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</si>
  <si>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</si>
  <si>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</si>
  <si>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</si>
  <si>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</si>
  <si>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</si>
  <si>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</si>
  <si>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</si>
  <si>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</si>
  <si>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</si>
  <si>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</si>
  <si>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</si>
  <si>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</si>
  <si>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</si>
  <si>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</si>
  <si>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</si>
  <si>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</si>
  <si>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</si>
  <si>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</si>
  <si>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</si>
  <si>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</si>
  <si>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</si>
  <si>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</si>
  <si>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</si>
  <si>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</si>
  <si>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</si>
  <si>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</si>
  <si>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</si>
  <si>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</si>
  <si>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</si>
  <si>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</si>
  <si>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</si>
  <si>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</si>
  <si>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</si>
  <si>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</si>
  <si>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</si>
  <si>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</si>
  <si>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</si>
  <si>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</si>
  <si>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</si>
  <si>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</si>
  <si>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</si>
  <si>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</si>
  <si>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</si>
  <si>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</si>
  <si>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</si>
  <si>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</si>
  <si>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</si>
  <si>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</si>
  <si>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</si>
  <si>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</si>
  <si>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</si>
  <si>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</si>
  <si>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</si>
  <si>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</si>
  <si>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</si>
  <si>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</si>
  <si>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</si>
  <si>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</si>
  <si>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</si>
  <si>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</si>
  <si>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</si>
  <si>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</si>
  <si>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</si>
  <si>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</si>
  <si>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</si>
  <si>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</si>
  <si>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</si>
  <si>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</si>
  <si>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</si>
  <si>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</si>
  <si>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</si>
  <si>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</si>
  <si>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</si>
  <si>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</si>
  <si>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</si>
  <si>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</si>
  <si>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</si>
  <si>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</si>
  <si>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</si>
  <si>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</si>
  <si>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</si>
  <si>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</si>
  <si>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</si>
  <si>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</si>
  <si>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</si>
  <si>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</si>
  <si>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</si>
  <si>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</si>
  <si>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</si>
  <si>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</si>
  <si>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</si>
  <si>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</si>
  <si>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</si>
  <si>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</si>
  <si>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</si>
  <si>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</si>
  <si>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</si>
  <si>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</si>
  <si>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</si>
  <si>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</si>
  <si>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</si>
  <si>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</si>
  <si>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</si>
  <si>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</si>
  <si>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</si>
  <si>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</si>
  <si>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</si>
  <si>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</si>
  <si>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</si>
  <si>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</si>
  <si>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</si>
  <si>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</si>
  <si>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</si>
  <si>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</si>
  <si>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</si>
  <si>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</si>
  <si>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</si>
  <si>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</si>
  <si>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</si>
  <si>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</si>
  <si>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</si>
  <si>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</si>
  <si>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</si>
  <si>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</si>
  <si>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</si>
  <si>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</si>
  <si>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</si>
  <si>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</si>
  <si>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</si>
  <si>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</si>
  <si>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</si>
  <si>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</si>
  <si>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</si>
  <si>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</si>
  <si>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</si>
  <si>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</si>
  <si>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</si>
  <si>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</si>
  <si>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</si>
  <si>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</si>
  <si>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</si>
  <si>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</si>
  <si>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</si>
  <si>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</si>
  <si>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</si>
  <si>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</si>
  <si>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</si>
  <si>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</si>
  <si>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</si>
  <si>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</si>
  <si>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</si>
  <si>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</si>
  <si>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</si>
  <si>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</si>
  <si>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</si>
  <si>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</si>
  <si>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</si>
  <si>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</si>
  <si>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</si>
  <si>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</si>
  <si>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</si>
  <si>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</si>
  <si>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</si>
  <si>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</si>
  <si>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</si>
  <si>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</si>
  <si>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</si>
  <si>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</si>
  <si>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</si>
  <si>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</si>
  <si>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</si>
  <si>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</si>
  <si>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</si>
  <si>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</si>
  <si>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</si>
  <si>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</si>
  <si>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</si>
  <si>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</si>
  <si>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</si>
  <si>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</si>
  <si>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</si>
  <si>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</si>
  <si>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</si>
  <si>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</si>
  <si>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</si>
  <si>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</si>
  <si>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</si>
  <si>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</si>
  <si>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</si>
  <si>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</si>
  <si>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</si>
  <si>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</si>
  <si>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</si>
  <si>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</si>
  <si>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</si>
  <si>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</si>
  <si>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</si>
  <si>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</si>
  <si>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</si>
  <si>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</si>
  <si>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</si>
  <si>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</si>
  <si>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</si>
  <si>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</si>
  <si>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</si>
  <si>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</si>
  <si>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</si>
  <si>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</si>
  <si>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</si>
  <si>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</si>
  <si>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</si>
  <si>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</si>
  <si>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</si>
  <si>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</si>
  <si>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</si>
  <si>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</si>
  <si>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</si>
  <si>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</si>
  <si>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</si>
  <si>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</si>
  <si>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</si>
  <si>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</si>
  <si>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</si>
  <si>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</si>
  <si>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</si>
  <si>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</si>
  <si>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</si>
  <si>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</si>
  <si>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</si>
  <si>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</si>
  <si>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</si>
  <si>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</si>
  <si>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</si>
  <si>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</si>
  <si>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</si>
  <si>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</si>
  <si>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</si>
  <si>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</si>
  <si>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</si>
  <si>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</si>
  <si>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</si>
  <si>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</si>
  <si>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</si>
  <si>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</si>
  <si>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</si>
  <si>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</si>
  <si>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</si>
  <si>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</si>
  <si>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</si>
  <si>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</si>
  <si>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</si>
  <si>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</si>
  <si>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</si>
  <si>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</si>
  <si>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</si>
  <si>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</si>
  <si>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</si>
  <si>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</si>
  <si>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</si>
  <si>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</si>
  <si>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</si>
  <si>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</si>
  <si>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</si>
  <si>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</si>
  <si>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</si>
  <si>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</si>
  <si>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</si>
  <si>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</si>
  <si>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</si>
  <si>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</si>
  <si>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</si>
  <si>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</si>
  <si>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</si>
  <si>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</si>
  <si>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</si>
  <si>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</si>
  <si>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</si>
  <si>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</si>
  <si>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</si>
  <si>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</si>
  <si>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</si>
  <si>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</si>
  <si>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</si>
  <si>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</si>
  <si>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</si>
  <si>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</si>
  <si>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</si>
  <si>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</si>
  <si>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</si>
  <si>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</si>
  <si>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</si>
  <si>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</si>
  <si>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</si>
  <si>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</si>
  <si>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</si>
  <si>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</si>
  <si>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</si>
  <si>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</si>
  <si>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</si>
  <si>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</si>
  <si>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</si>
  <si>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</si>
  <si>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</si>
  <si>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</si>
  <si>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</si>
  <si>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</si>
  <si>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</si>
  <si>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</si>
  <si>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</si>
  <si>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</si>
  <si>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</si>
  <si>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</si>
  <si>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</si>
  <si>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</si>
  <si>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</si>
  <si>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</si>
  <si>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</si>
  <si>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</si>
  <si>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</si>
  <si>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</si>
  <si>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</si>
  <si>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</si>
  <si>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</si>
  <si>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</si>
  <si>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</si>
  <si>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</si>
  <si>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</si>
  <si>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</si>
  <si>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</si>
  <si>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</si>
  <si>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</si>
  <si>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</si>
  <si>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</si>
  <si>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</si>
  <si>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</si>
  <si>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</si>
  <si>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</si>
  <si>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</si>
  <si>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</si>
  <si>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</si>
  <si>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</si>
  <si>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</si>
  <si>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</si>
  <si>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</si>
  <si>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</si>
  <si>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</si>
  <si>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</si>
  <si>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</si>
  <si>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</si>
  <si>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</si>
  <si>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</si>
  <si>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</si>
  <si>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</si>
  <si>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</si>
  <si>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</si>
  <si>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</si>
  <si>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</si>
  <si>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</si>
  <si>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</si>
  <si>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</si>
  <si>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</si>
  <si>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</si>
  <si>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</si>
  <si>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</si>
  <si>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</si>
  <si>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</si>
  <si>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</si>
  <si>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</si>
  <si>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</si>
  <si>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</si>
  <si>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</si>
  <si>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</si>
  <si>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</si>
  <si>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</si>
  <si>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</si>
  <si>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</si>
  <si>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</si>
  <si>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</si>
  <si>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</si>
  <si>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</si>
  <si>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</si>
  <si>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</si>
  <si>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</si>
  <si>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</si>
  <si>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</si>
  <si>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</si>
  <si>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</si>
  <si>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</si>
  <si>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</si>
  <si>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</si>
  <si>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</si>
  <si>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</si>
  <si>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</si>
  <si>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</si>
  <si>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</si>
  <si>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</si>
  <si>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</si>
  <si>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</si>
  <si>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</si>
  <si>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</si>
  <si>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</si>
  <si>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</si>
  <si>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</si>
  <si>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</si>
  <si>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</si>
  <si>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</si>
  <si>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</si>
  <si>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</si>
  <si>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</si>
  <si>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</si>
  <si>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</si>
  <si>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</si>
  <si>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</si>
  <si>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</si>
  <si>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</si>
  <si>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</si>
  <si>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</si>
  <si>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</si>
  <si>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</si>
  <si>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</si>
  <si>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</si>
  <si>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</si>
  <si>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</si>
  <si>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</si>
  <si>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</si>
  <si>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</si>
  <si>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</si>
  <si>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</si>
  <si>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</si>
  <si>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</si>
  <si>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</si>
  <si>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</si>
  <si>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</si>
  <si>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</si>
  <si>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</si>
  <si>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</si>
  <si>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</si>
  <si>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</si>
  <si>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</si>
  <si>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</si>
  <si>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</si>
  <si>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</si>
  <si>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</si>
  <si>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</si>
  <si>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</si>
  <si>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</si>
  <si>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</si>
  <si>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</si>
  <si>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</si>
  <si>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</si>
  <si>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</si>
  <si>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</si>
  <si>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</si>
  <si>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</si>
  <si>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</si>
  <si>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</si>
  <si>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</si>
  <si>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</si>
  <si>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</si>
  <si>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</si>
  <si>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</si>
  <si>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</si>
  <si>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</si>
  <si>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</si>
  <si>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</si>
  <si>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</si>
  <si>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</si>
  <si>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</si>
  <si>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</si>
  <si>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</si>
  <si>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</si>
  <si>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</si>
  <si>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</si>
  <si>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</si>
  <si>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</si>
  <si>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</si>
  <si>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</si>
  <si>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</si>
  <si>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</si>
  <si>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</si>
  <si>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</si>
  <si>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</si>
  <si>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</si>
  <si>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</si>
  <si>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</si>
  <si>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</si>
  <si>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</si>
  <si>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</si>
  <si>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</si>
  <si>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</si>
  <si>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</si>
  <si>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</si>
  <si>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</si>
  <si>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</si>
  <si>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</si>
  <si>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</si>
  <si>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</si>
  <si>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</si>
  <si>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</si>
  <si>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</si>
  <si>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</si>
  <si>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</si>
  <si>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</si>
  <si>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</si>
  <si>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</si>
  <si>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</si>
  <si>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</si>
  <si>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</si>
  <si>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</si>
  <si>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</si>
  <si>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</si>
  <si>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</si>
  <si>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</si>
  <si>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</si>
  <si>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</si>
  <si>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</si>
  <si>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</si>
  <si>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</si>
  <si>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</si>
  <si>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</si>
  <si>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</si>
  <si>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</si>
  <si>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</si>
  <si>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</si>
  <si>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</si>
  <si>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</si>
  <si>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</si>
  <si>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</si>
  <si>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</si>
  <si>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</si>
  <si>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</si>
  <si>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</si>
  <si>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</si>
  <si>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</si>
  <si>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</si>
  <si>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</si>
  <si>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</si>
  <si>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</si>
  <si>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</si>
  <si>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</si>
  <si>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</si>
  <si>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</si>
  <si>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</si>
  <si>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</si>
  <si>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</si>
  <si>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</si>
  <si>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</si>
  <si>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</si>
  <si>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</si>
  <si>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</si>
  <si>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</si>
  <si>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</si>
  <si>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</si>
  <si>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</si>
  <si>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</si>
  <si>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</si>
  <si>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</si>
  <si>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</si>
  <si>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</si>
  <si>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</si>
  <si>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</si>
  <si>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</si>
  <si>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</si>
  <si>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</si>
  <si>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</si>
  <si>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</si>
  <si>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</si>
  <si>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</si>
  <si>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</si>
  <si>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</si>
  <si>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</si>
  <si>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</si>
  <si>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</si>
  <si>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</si>
  <si>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</si>
  <si>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</si>
  <si>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</si>
  <si>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</si>
  <si>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</si>
  <si>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</si>
  <si>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</si>
  <si>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</si>
  <si>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</si>
  <si>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</si>
  <si>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</si>
  <si>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</si>
  <si>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</si>
  <si>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</si>
  <si>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</si>
  <si>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</si>
  <si>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</si>
  <si>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</si>
  <si>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</si>
  <si>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</si>
  <si>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</si>
  <si>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</si>
  <si>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</si>
  <si>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</si>
  <si>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</si>
  <si>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</si>
  <si>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</si>
  <si>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</si>
  <si>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</si>
  <si>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</si>
  <si>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</si>
  <si>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</si>
  <si>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</si>
  <si>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</si>
  <si>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</si>
  <si>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</si>
  <si>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</si>
  <si>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</si>
  <si>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</si>
  <si>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</si>
  <si>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</si>
  <si>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</si>
  <si>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</si>
  <si>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</si>
  <si>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</si>
  <si>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</si>
  <si>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</si>
  <si>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</si>
  <si>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</si>
  <si>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</si>
  <si>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</si>
  <si>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</si>
  <si>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</si>
  <si>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</si>
  <si>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</si>
  <si>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</si>
  <si>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</si>
  <si>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</si>
  <si>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</si>
  <si>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</si>
  <si>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</si>
  <si>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</si>
  <si>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</si>
  <si>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</si>
  <si>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</si>
  <si>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</si>
  <si>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</si>
  <si>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</si>
  <si>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</si>
  <si>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</si>
  <si>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</si>
  <si>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</si>
  <si>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</si>
  <si>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</si>
  <si>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</si>
  <si>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</si>
  <si>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</si>
  <si>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</si>
  <si>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</si>
  <si>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</si>
  <si>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</si>
  <si>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</si>
  <si>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</si>
  <si>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</si>
  <si>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</si>
  <si>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</si>
  <si>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</si>
  <si>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</si>
  <si>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</si>
  <si>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</si>
  <si>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</si>
  <si>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</si>
  <si>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</si>
  <si>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</si>
  <si>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</si>
  <si>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</si>
  <si>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</si>
  <si>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</si>
  <si>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</si>
  <si>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</si>
  <si>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</si>
  <si>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</si>
  <si>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</si>
  <si>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</si>
  <si>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</si>
  <si>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</si>
  <si>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</si>
  <si>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</si>
  <si>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</si>
  <si>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</si>
  <si>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</si>
  <si>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</si>
  <si>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</si>
  <si>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</si>
  <si>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</si>
  <si>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</si>
  <si>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</si>
  <si>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</si>
  <si>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</si>
  <si>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</si>
  <si>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</si>
  <si>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</si>
  <si>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</si>
  <si>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</si>
  <si>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</si>
  <si>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</si>
  <si>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</si>
  <si>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</si>
  <si>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</si>
  <si>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</si>
  <si>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</si>
  <si>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</si>
  <si>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</si>
  <si>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</si>
  <si>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</si>
  <si>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</si>
  <si>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</si>
  <si>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</si>
  <si>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</si>
  <si>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</si>
  <si>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</si>
  <si>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</si>
  <si>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</si>
  <si>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</si>
  <si>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</si>
  <si>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</si>
  <si>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</si>
  <si>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</si>
  <si>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</si>
  <si>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</si>
  <si>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</si>
  <si>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</si>
  <si>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</si>
  <si>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</si>
  <si>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</si>
  <si>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</si>
  <si>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</si>
  <si>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</si>
  <si>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</si>
  <si>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</si>
  <si>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</si>
  <si>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</si>
  <si>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</si>
  <si>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</si>
  <si>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</si>
  <si>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</si>
  <si>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</si>
  <si>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</si>
  <si>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</si>
  <si>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</si>
  <si>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</si>
  <si>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</si>
  <si>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</si>
  <si>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</si>
  <si>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</si>
  <si>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</si>
  <si>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</si>
  <si>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</si>
  <si>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</si>
  <si>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</si>
  <si>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</si>
  <si>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</si>
  <si>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</si>
  <si>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</si>
  <si>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</si>
  <si>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</si>
  <si>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</si>
  <si>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</si>
  <si>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</si>
  <si>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</si>
  <si>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</si>
  <si>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</si>
  <si>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</si>
  <si>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</si>
  <si>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</si>
  <si>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</si>
  <si>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</si>
  <si>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</si>
  <si>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</si>
  <si>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</si>
  <si>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</si>
  <si>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</si>
  <si>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</si>
  <si>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</si>
  <si>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</si>
  <si>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</si>
  <si>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</si>
  <si>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</si>
  <si>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</si>
  <si>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</si>
  <si>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</si>
  <si>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</si>
  <si>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</si>
  <si>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</si>
  <si>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</si>
  <si>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</si>
  <si>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</si>
  <si>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</si>
  <si>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</si>
  <si>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</si>
  <si>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</si>
  <si>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</si>
  <si>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</si>
  <si>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</si>
  <si>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</si>
  <si>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</si>
  <si>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</si>
  <si>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</si>
  <si>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</si>
  <si>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</si>
  <si>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</si>
  <si>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</si>
  <si>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</si>
  <si>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</si>
  <si>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</si>
  <si>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</si>
  <si>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</si>
  <si>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</si>
  <si>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</si>
  <si>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</si>
  <si>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</si>
  <si>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</si>
  <si>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</si>
  <si>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</si>
  <si>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</si>
  <si>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</si>
  <si>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</si>
  <si>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</si>
  <si>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</si>
  <si>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</si>
  <si>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</si>
  <si>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</si>
  <si>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</si>
  <si>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</si>
  <si>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</si>
  <si>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</si>
  <si>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</si>
  <si>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</si>
  <si>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</si>
  <si>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</si>
  <si>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</si>
  <si>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</si>
  <si>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</si>
  <si>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</si>
  <si>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</si>
  <si>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</si>
  <si>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</si>
  <si>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</si>
  <si>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</si>
  <si>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</si>
  <si>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</si>
  <si>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</si>
  <si>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</si>
  <si>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</si>
  <si>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</si>
  <si>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</si>
  <si>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</si>
  <si>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</si>
  <si>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</si>
  <si>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</si>
  <si>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</si>
  <si>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</si>
  <si>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</si>
  <si>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</si>
  <si>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</si>
  <si>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</si>
  <si>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</si>
  <si>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</si>
  <si>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</si>
  <si>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</si>
  <si>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</si>
  <si>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</si>
  <si>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</si>
  <si>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</si>
  <si>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</si>
  <si>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</si>
  <si>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</si>
  <si>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</si>
  <si>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</si>
  <si>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</si>
  <si>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</si>
  <si>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</si>
  <si>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</si>
  <si>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</si>
  <si>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</si>
  <si>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</si>
  <si>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</si>
  <si>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</si>
  <si>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</si>
  <si>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</si>
  <si>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</si>
  <si>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</si>
  <si>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</si>
  <si>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</si>
  <si>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</si>
  <si>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</si>
  <si>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</si>
  <si>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</si>
  <si>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</si>
  <si>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</si>
  <si>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</si>
  <si>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</si>
  <si>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</si>
  <si>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</si>
  <si>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</si>
  <si>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</si>
  <si>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</si>
  <si>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</si>
  <si>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</si>
  <si>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</si>
  <si>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</si>
  <si>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</si>
  <si>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</si>
  <si>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</si>
  <si>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</si>
  <si>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</si>
  <si>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</si>
  <si>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</si>
  <si>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</si>
  <si>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</si>
  <si>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</si>
  <si>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</si>
  <si>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</si>
  <si>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</si>
  <si>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</si>
  <si>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</si>
  <si>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</si>
  <si>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</si>
  <si>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</si>
  <si>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</si>
  <si>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</si>
  <si>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</si>
  <si>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</si>
  <si>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</si>
  <si>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</si>
  <si>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</si>
  <si>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</si>
  <si>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</si>
  <si>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</si>
  <si>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</si>
  <si>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</si>
  <si>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</si>
  <si>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</si>
  <si>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</si>
  <si>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</si>
  <si>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</si>
  <si>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</si>
  <si>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</si>
  <si>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</si>
  <si>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</si>
  <si>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</si>
  <si>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</si>
  <si>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</si>
  <si>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</si>
  <si>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</si>
  <si>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</si>
  <si>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</si>
  <si>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</si>
  <si>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</si>
  <si>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</si>
  <si>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</si>
  <si>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</si>
  <si>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</si>
  <si>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</si>
  <si>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</si>
  <si>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</si>
  <si>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</si>
  <si>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</si>
  <si>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</si>
  <si>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</si>
  <si>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</si>
  <si>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</si>
  <si>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</si>
  <si>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</si>
  <si>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</si>
  <si>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</si>
  <si>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</si>
  <si>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</si>
  <si>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</si>
  <si>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</si>
  <si>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</si>
  <si>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</si>
  <si>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</si>
  <si>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</si>
  <si>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</si>
  <si>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</si>
  <si>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</si>
  <si>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</si>
  <si>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</si>
  <si>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</si>
  <si>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</si>
  <si>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</si>
  <si>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</si>
  <si>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</si>
  <si>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</si>
  <si>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</si>
  <si>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</si>
  <si>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</si>
  <si>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</si>
  <si>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</si>
  <si>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</si>
  <si>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</si>
  <si>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</si>
  <si>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</si>
  <si>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</si>
  <si>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</si>
  <si>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</si>
  <si>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</si>
  <si>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</si>
  <si>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</si>
  <si>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</si>
  <si>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</si>
  <si>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</si>
  <si>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</si>
  <si>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</si>
  <si>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</si>
  <si>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</si>
  <si>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</si>
  <si>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</si>
  <si>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</si>
  <si>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</si>
  <si>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</si>
  <si>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</si>
  <si>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</si>
  <si>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</si>
  <si>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</si>
  <si>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</si>
  <si>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</si>
  <si>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</si>
  <si>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</si>
  <si>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</si>
  <si>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</si>
  <si>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</si>
  <si>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</si>
  <si>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</si>
  <si>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</si>
  <si>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</si>
  <si>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</si>
  <si>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</si>
  <si>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</si>
  <si>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</si>
  <si>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</si>
  <si>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</si>
  <si>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</si>
  <si>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</si>
  <si>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</si>
  <si>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</si>
  <si>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</si>
  <si>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</si>
  <si>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</si>
  <si>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</si>
  <si>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</si>
  <si>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</si>
  <si>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</si>
  <si>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</si>
  <si>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</si>
  <si>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</si>
  <si>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</si>
  <si>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</si>
  <si>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</si>
  <si>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</si>
  <si>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</si>
  <si>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</si>
  <si>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</si>
  <si>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</si>
  <si>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</si>
  <si>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</si>
  <si>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</si>
  <si>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</si>
  <si>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</si>
  <si>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</si>
  <si>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</si>
  <si>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</si>
  <si>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</si>
  <si>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</si>
  <si>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</si>
  <si>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</si>
  <si>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</si>
  <si>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</si>
  <si>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</si>
  <si>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</si>
  <si>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Average Sales</t>
  </si>
  <si>
    <t>Sr No</t>
  </si>
  <si>
    <t>Number of items</t>
  </si>
  <si>
    <t>Average Rating</t>
  </si>
  <si>
    <t>Total Sales</t>
  </si>
  <si>
    <t>Avg Sales</t>
  </si>
  <si>
    <t>No of items</t>
  </si>
  <si>
    <t>KPI's Requirements</t>
  </si>
  <si>
    <t>(All)</t>
  </si>
  <si>
    <t>Row Labels</t>
  </si>
  <si>
    <t>Total Sales by Fat Content</t>
  </si>
  <si>
    <t>Column Labels</t>
  </si>
  <si>
    <t xml:space="preserve">Fat Content by Outlet for Total Sales </t>
  </si>
  <si>
    <t>Total Sales by Item Type</t>
  </si>
  <si>
    <t>Total Sales by Outlet Establishment</t>
  </si>
  <si>
    <t>Total Sales by Outlet Size</t>
  </si>
  <si>
    <t>Count of Sr No</t>
  </si>
  <si>
    <t>All Metric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</si>
</sst>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
    <numFmt numFmtId="165" formatCode="0.0"/>
    <numFmt numFmtId="166" formatCode="&quot;$&quot;0.00,,&quot;M&quot;"/>
    <numFmt numFmtId="167" formatCode="&quot;$&quot;0.0,&quot;K&quot;"/>
    <numFmt numFmtId="168" formatCode="\$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4" fontId="0" fillId="0" borderId="17" xfId="0" applyNumberFormat="1" applyBorder="1"/>
    <xf numFmtId="0" fontId="0" fillId="0" borderId="17" xfId="0" applyNumberFormat="1" applyBorder="1"/>
    <xf numFmtId="0" fontId="0" fillId="0" borderId="18" xfId="0" applyBorder="1"/>
    <xf numFmtId="165"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10" xfId="0" applyNumberFormat="1" applyBorder="1"/>
    <xf numFmtId="0" fontId="0" fillId="0" borderId="16" xfId="0" applyBorder="1"/>
    <xf numFmtId="0" fontId="0" fillId="0" borderId="17" xfId="0" applyBorder="1"/>
    <xf numFmtId="0" fontId="0" fillId="0" borderId="10" xfId="0" pivotButton="1" applyNumberFormat="1" applyBorder="1"/>
    <xf numFmtId="0" fontId="0" fillId="0" borderId="22" xfId="0" applyNumberFormat="1" applyBorder="1" applyAlignment="1">
      <alignment horizontal="left"/>
    </xf>
    <xf numFmtId="0" fontId="0" fillId="0" borderId="24" xfId="0" applyNumberFormat="1" applyBorder="1" applyAlignment="1">
      <alignment horizontal="left"/>
    </xf>
    <xf numFmtId="167" fontId="0" fillId="0" borderId="22" xfId="0" applyNumberFormat="1" applyBorder="1"/>
    <xf numFmtId="167" fontId="0" fillId="0" borderId="24" xfId="0" applyNumberFormat="1" applyBorder="1"/>
    <xf numFmtId="167" fontId="0" fillId="0" borderId="10" xfId="0" applyNumberFormat="1" applyBorder="1"/>
    <xf numFmtId="167" fontId="0" fillId="0" borderId="18" xfId="0" applyNumberFormat="1" applyBorder="1"/>
    <xf numFmtId="167" fontId="0" fillId="0" borderId="23" xfId="0" applyNumberFormat="1" applyBorder="1"/>
    <xf numFmtId="0" fontId="0" fillId="0" borderId="14" xfId="0" applyNumberFormat="1" applyBorder="1" applyAlignment="1">
      <alignment horizontal="left"/>
    </xf>
    <xf numFmtId="0" fontId="0" fillId="0" borderId="16" xfId="0" applyNumberFormat="1" applyBorder="1" applyAlignment="1">
      <alignment horizontal="left"/>
    </xf>
    <xf numFmtId="167" fontId="0" fillId="0" borderId="11" xfId="0" applyNumberFormat="1" applyBorder="1"/>
    <xf numFmtId="167" fontId="0" fillId="0" borderId="13" xfId="0" applyNumberFormat="1" applyBorder="1"/>
    <xf numFmtId="167" fontId="0" fillId="0" borderId="16" xfId="0" applyNumberFormat="1" applyBorder="1"/>
    <xf numFmtId="0" fontId="0" fillId="0" borderId="23" xfId="0" applyNumberFormat="1" applyBorder="1" applyAlignment="1">
      <alignment horizontal="left"/>
    </xf>
    <xf numFmtId="0" fontId="0" fillId="0" borderId="11" xfId="0" applyNumberFormat="1" applyBorder="1" applyAlignment="1">
      <alignment horizontal="left"/>
    </xf>
    <xf numFmtId="168" fontId="0" fillId="0" borderId="22" xfId="0" applyNumberFormat="1" applyBorder="1"/>
    <xf numFmtId="168" fontId="0" fillId="0" borderId="24" xfId="0" applyNumberFormat="1" applyBorder="1"/>
    <xf numFmtId="1" fontId="0" fillId="0" borderId="22" xfId="0" applyNumberFormat="1" applyBorder="1"/>
    <xf numFmtId="1" fontId="0" fillId="0" borderId="24" xfId="0" applyNumberFormat="1" applyBorder="1"/>
    <xf numFmtId="0" fontId="0" fillId="0" borderId="10" xfId="0" applyNumberFormat="1" applyBorder="1" applyAlignment="1">
      <alignment horizontal="left"/>
    </xf>
    <xf numFmtId="0" fontId="0" fillId="0" borderId="14" xfId="0" applyBorder="1" applyAlignment="1">
      <alignment horizontal="center"/>
    </xf>
    <xf numFmtId="0" fontId="0" fillId="0" borderId="0" xfId="0" applyBorder="1" applyAlignment="1">
      <alignment horizontal="center"/>
    </xf>
    <xf numFmtId="0" fontId="0" fillId="0" borderId="15" xfId="0" applyBorder="1" applyAlignment="1">
      <alignment horizontal="center"/>
    </xf>
    <xf numFmtId="0" fontId="16" fillId="33" borderId="11" xfId="0" applyFont="1"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1"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quot;$&quot;0.0,&quot;M&quot;"/>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ttom/>
        <horizontal/>
      </border>
    </dxf>
    <dxf>
      <border>
        <left/>
        <top/>
        <bottom/>
        <horizontal/>
      </border>
    </dxf>
    <dxf>
      <border>
        <left/>
        <top/>
        <bottom/>
        <horizontal/>
      </border>
    </dxf>
    <dxf>
      <border>
        <left/>
        <top/>
        <bottom/>
        <horizontal/>
      </border>
    </dxf>
    <dxf>
      <border>
        <left/>
        <top/>
        <bottom/>
        <horizontal/>
      </border>
    </dxf>
    <dxf>
      <border>
        <left/>
        <top/>
        <bottom/>
        <horizontal/>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tableStyleElement type="wholeTable" dxfId="372"/>
      <tableStyleElement type="headerRow" dxfId="371"/>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Excel.xlsx]SheetsDesign!PivotTable2</c:name>
    <c:fmtId val="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1247443762781185"/>
          <c:y val="0.2764518695306285"/>
          <c:w val="0.7995910020449899"/>
          <c:h val="0.62211614956245032"/>
        </c:manualLayout>
      </c:layout>
      <c:doughnutChart>
        <c:varyColors val="1"/>
        <c:ser>
          <c:idx val="0"/>
          <c:order val="0"/>
          <c:tx>
            <c:strRef>
              <c:f>SheetsDesign!$B$12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2E-41F5-9A27-89F74B0E22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2E-41F5-9A27-89F74B0E228F}"/>
              </c:ext>
            </c:extLst>
          </c:dPt>
          <c:cat>
            <c:strRef>
              <c:f>SheetsDesign!$A$13:$A$14</c:f>
              <c:strCache>
                <c:ptCount val="2"/>
                <c:pt idx="0">
                  <c:v>Low Fat</c:v>
                </c:pt>
                <c:pt idx="1">
                  <c:v>Regular</c:v>
                </c:pt>
              </c:strCache>
            </c:strRef>
          </c:cat>
          <c:val>
            <c:numRef>
              <c:f>SheetsDesign!$B$13:$B$14</c:f>
              <c:numCache>
                <c:formatCode>"$"0.0,"K"</c:formatCode>
                <c:ptCount val="2"/>
                <c:pt idx="0">
                  <c:v>122862.29199999984</c:v>
                </c:pt>
                <c:pt idx="1">
                  <c:v>126129.29400000021</c:v>
                </c:pt>
              </c:numCache>
            </c:numRef>
          </c:val>
          <c:extLst>
            <c:ext xmlns:c16="http://schemas.microsoft.com/office/drawing/2014/chart" uri="{C3380CC4-5D6E-409C-BE32-E72D297353CC}">
              <c16:uniqueId val="{00000003-8AD6-4DE6-9B4A-B0E816B588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Excel.xlsx]SheetsDesign!PivotTable3</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SheetsDesign!$B$22:$B$23</c:f>
              <c:strCache>
                <c:ptCount val="1"/>
                <c:pt idx="0">
                  <c:v>Regular</c:v>
                </c:pt>
              </c:strCache>
            </c:strRef>
          </c:tx>
          <c:spPr>
            <a:solidFill>
              <a:schemeClr val="accent1"/>
            </a:solidFill>
            <a:ln>
              <a:noFill/>
            </a:ln>
            <a:effectLst/>
          </c:spPr>
          <c:invertIfNegative val="0"/>
          <c:cat>
            <c:strRef>
              <c:f>SheetsDesign!$A$24:$A$25</c:f>
              <c:strCache>
                <c:ptCount val="2"/>
                <c:pt idx="0">
                  <c:v>Tier 2</c:v>
                </c:pt>
                <c:pt idx="1">
                  <c:v>Tier 3</c:v>
                </c:pt>
              </c:strCache>
            </c:strRef>
          </c:cat>
          <c:val>
            <c:numRef>
              <c:f>SheetsDesign!$B$24:$B$25</c:f>
              <c:numCache>
                <c:formatCode>"$"0.0,"K"</c:formatCode>
                <c:ptCount val="2"/>
                <c:pt idx="0">
                  <c:v>60000.70340000002</c:v>
                </c:pt>
                <c:pt idx="1">
                  <c:v>66128.590600000054</c:v>
                </c:pt>
              </c:numCache>
            </c:numRef>
          </c:val>
          <c:extLst>
            <c:ext xmlns:c16="http://schemas.microsoft.com/office/drawing/2014/chart" uri="{C3380CC4-5D6E-409C-BE32-E72D297353CC}">
              <c16:uniqueId val="{00000004-7C8B-476E-A114-795F6E5F3AA1}"/>
            </c:ext>
          </c:extLst>
        </c:ser>
        <c:ser>
          <c:idx val="1"/>
          <c:order val="1"/>
          <c:tx>
            <c:strRef>
              <c:f>SheetsDesign!$C$22:$C$23</c:f>
              <c:strCache>
                <c:ptCount val="1"/>
                <c:pt idx="0">
                  <c:v>Low Fat</c:v>
                </c:pt>
              </c:strCache>
            </c:strRef>
          </c:tx>
          <c:spPr>
            <a:solidFill>
              <a:schemeClr val="accent2"/>
            </a:solidFill>
            <a:ln>
              <a:noFill/>
            </a:ln>
            <a:effectLst/>
          </c:spPr>
          <c:invertIfNegative val="0"/>
          <c:cat>
            <c:strRef>
              <c:f>SheetsDesign!$A$24:$A$25</c:f>
              <c:strCache>
                <c:ptCount val="2"/>
                <c:pt idx="0">
                  <c:v>Tier 2</c:v>
                </c:pt>
                <c:pt idx="1">
                  <c:v>Tier 3</c:v>
                </c:pt>
              </c:strCache>
            </c:strRef>
          </c:cat>
          <c:val>
            <c:numRef>
              <c:f>SheetsDesign!$C$24:$C$25</c:f>
              <c:numCache>
                <c:formatCode>"$"0.0,"K"</c:formatCode>
                <c:ptCount val="2"/>
                <c:pt idx="0">
                  <c:v>24611.744000000002</c:v>
                </c:pt>
                <c:pt idx="1">
                  <c:v>98250.54799999985</c:v>
                </c:pt>
              </c:numCache>
            </c:numRef>
          </c:val>
          <c:extLst>
            <c:ext xmlns:c16="http://schemas.microsoft.com/office/drawing/2014/chart" uri="{C3380CC4-5D6E-409C-BE32-E72D297353CC}">
              <c16:uniqueId val="{00000005-7C8B-476E-A114-795F6E5F3AA1}"/>
            </c:ext>
          </c:extLst>
        </c:ser>
        <c:dLbls>
          <c:showLegendKey val="0"/>
          <c:showVal val="0"/>
          <c:showCatName val="0"/>
          <c:showSerName val="0"/>
          <c:showPercent val="0"/>
          <c:showBubbleSize val="0"/>
        </c:dLbls>
        <c:gapWidth val="182"/>
        <c:axId val="770682688"/>
        <c:axId val="770699744"/>
      </c:barChart>
      <c:catAx>
        <c:axId val="77068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699744"/>
        <c:crosses val="autoZero"/>
        <c:auto val="1"/>
        <c:lblAlgn val="ctr"/>
        <c:lblOffset val="100"/>
        <c:noMultiLvlLbl val="0"/>
      </c:catAx>
      <c:valAx>
        <c:axId val="7706997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6826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Excel.xlsx]SheetsDesign!PivotTable4</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SheetsDesign!$B$33</c:f>
              <c:strCache>
                <c:ptCount val="1"/>
                <c:pt idx="0">
                  <c:v>Total</c:v>
                </c:pt>
              </c:strCache>
            </c:strRef>
          </c:tx>
          <c:spPr>
            <a:solidFill>
              <a:schemeClr val="accent1"/>
            </a:solidFill>
            <a:ln>
              <a:noFill/>
            </a:ln>
            <a:effectLst/>
          </c:spPr>
          <c:invertIfNegative val="0"/>
          <c:cat>
            <c:strRef>
              <c:f>SheetsDesign!$A$34:$A$49</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SheetsDesign!$B$34:$B$49</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1-9302-441D-B1BD-1D4231444B15}"/>
            </c:ext>
          </c:extLst>
        </c:ser>
        <c:dLbls>
          <c:showLegendKey val="0"/>
          <c:showVal val="0"/>
          <c:showCatName val="0"/>
          <c:showSerName val="0"/>
          <c:showPercent val="0"/>
          <c:showBubbleSize val="0"/>
        </c:dLbls>
        <c:gapWidth val="182"/>
        <c:axId val="610281632"/>
        <c:axId val="610279552"/>
      </c:barChart>
      <c:catAx>
        <c:axId val="610281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279552"/>
        <c:crosses val="autoZero"/>
        <c:auto val="1"/>
        <c:lblAlgn val="ctr"/>
        <c:lblOffset val="100"/>
        <c:noMultiLvlLbl val="0"/>
      </c:catAx>
      <c:valAx>
        <c:axId val="610279552"/>
        <c:scaling>
          <c:orientation val="minMax"/>
        </c:scaling>
        <c:delete val="1"/>
        <c:axPos val="b"/>
        <c:numFmt formatCode="&quot;$&quot;0.0,&quot;K&quot;" sourceLinked="1"/>
        <c:majorTickMark val="out"/>
        <c:minorTickMark val="none"/>
        <c:tickLblPos val="nextTo"/>
        <c:crossAx val="610281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5400">
            <a:noFill/>
          </a:ln>
          <a:effectLst/>
        </c:spPr>
        <c:marker>
          <c:symbol val="none"/>
        </c:marker>
      </c:pivotFmt>
    </c:pivotFmts>
    <c:plotArea>
      <c:layout>
        <c:manualLayout>
          <c:layoutTarget val="inner"/>
          <c:xMode val="edge"/>
          <c:yMode val="edge"/>
          <c:x val="0.12387270341207349"/>
          <c:y val="0.26328484981044037"/>
          <c:w val="0.77049759405074369"/>
          <c:h val="0.53774387576552929"/>
        </c:manualLayout>
      </c:layout>
      <c:areaChart>
        <c:grouping val="standard"/>
        <c:varyColors val="0"/>
        <c:ser>
          <c:idx val="0"/>
          <c:order val="0"/>
          <c:tx>
            <c:strRef>
              <c:f>SheetsDesign!$B$56</c:f>
              <c:strCache>
                <c:ptCount val="1"/>
                <c:pt idx="0">
                  <c:v>Total</c:v>
                </c:pt>
              </c:strCache>
            </c:strRef>
          </c:tx>
          <c:spPr>
            <a:solidFill>
              <a:schemeClr val="accent1"/>
            </a:solidFill>
            <a:ln w="25400">
              <a:noFill/>
            </a:ln>
            <a:effectLst/>
          </c:spPr>
          <c:cat>
            <c:strRef>
              <c:f>SheetsDesign!$A$57:$A$60</c:f>
              <c:strCache>
                <c:ptCount val="4"/>
                <c:pt idx="0">
                  <c:v>2011</c:v>
                </c:pt>
                <c:pt idx="1">
                  <c:v>2014</c:v>
                </c:pt>
                <c:pt idx="2">
                  <c:v>2015</c:v>
                </c:pt>
                <c:pt idx="3">
                  <c:v>2020</c:v>
                </c:pt>
              </c:strCache>
            </c:strRef>
          </c:cat>
          <c:val>
            <c:numRef>
              <c:f>SheetsDesign!$B$57:$B$60</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3-4337-4807-97CC-BB8A0689D774}"/>
            </c:ext>
          </c:extLst>
        </c:ser>
        <c:dLbls>
          <c:showLegendKey val="0"/>
          <c:showVal val="0"/>
          <c:showCatName val="0"/>
          <c:showSerName val="0"/>
          <c:showPercent val="0"/>
          <c:showBubbleSize val="0"/>
        </c:dLbls>
        <c:axId val="770701824"/>
        <c:axId val="770686016"/>
      </c:areaChart>
      <c:catAx>
        <c:axId val="770701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686016"/>
        <c:crosses val="autoZero"/>
        <c:auto val="1"/>
        <c:lblAlgn val="ctr"/>
        <c:lblOffset val="100"/>
        <c:noMultiLvlLbl val="0"/>
      </c:catAx>
      <c:valAx>
        <c:axId val="77068601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70182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Excel.xlsx]SheetsDesign!PivotTable6</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s>
    <c:plotArea>
      <c:layout/>
      <c:doughnutChart>
        <c:varyColors val="1"/>
        <c:ser>
          <c:idx val="0"/>
          <c:order val="0"/>
          <c:tx>
            <c:strRef>
              <c:f>SheetsDesign!$B$74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48-4C48-95B2-109E297402C7}"/>
              </c:ext>
            </c:extLst>
          </c:dPt>
          <c:cat>
            <c:strRef>
              <c:f>SheetsDesign!$A$75</c:f>
              <c:strCache>
                <c:ptCount val="1"/>
                <c:pt idx="0">
                  <c:v>High</c:v>
                </c:pt>
              </c:strCache>
            </c:strRef>
          </c:cat>
          <c:val>
            <c:numRef>
              <c:f>SheetsDesign!$B$75</c:f>
              <c:numCache>
                <c:formatCode>"$"0.0,"K"</c:formatCode>
                <c:ptCount val="1"/>
                <c:pt idx="0">
                  <c:v>248991.5860000001</c:v>
                </c:pt>
              </c:numCache>
            </c:numRef>
          </c:val>
          <c:extLst>
            <c:ext xmlns:c16="http://schemas.microsoft.com/office/drawing/2014/chart" uri="{C3380CC4-5D6E-409C-BE32-E72D297353CC}">
              <c16:uniqueId val="{00000001-82F2-4E4A-B9A7-C46095A138B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Excel.xlsx]SheetsDesign!PivotTable11</c:name>
    <c:fmtId val="11"/>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44042884469949733"/>
          <c:y val="0.10121285258431739"/>
          <c:w val="0.51883553288233342"/>
          <c:h val="0.81598531960444498"/>
        </c:manualLayout>
      </c:layout>
      <c:barChart>
        <c:barDir val="bar"/>
        <c:grouping val="clustered"/>
        <c:varyColors val="0"/>
        <c:ser>
          <c:idx val="0"/>
          <c:order val="0"/>
          <c:tx>
            <c:strRef>
              <c:f>SheetsDesign!$B$107</c:f>
              <c:strCache>
                <c:ptCount val="1"/>
                <c:pt idx="0">
                  <c:v>Total</c:v>
                </c:pt>
              </c:strCache>
            </c:strRef>
          </c:tx>
          <c:spPr>
            <a:solidFill>
              <a:schemeClr val="accent1"/>
            </a:solidFill>
            <a:ln>
              <a:noFill/>
            </a:ln>
            <a:effectLst/>
          </c:spPr>
          <c:invertIfNegative val="0"/>
          <c:cat>
            <c:strRef>
              <c:f>SheetsDesign!$A$108:$A$109</c:f>
              <c:strCache>
                <c:ptCount val="2"/>
                <c:pt idx="0">
                  <c:v>Grocery Store</c:v>
                </c:pt>
                <c:pt idx="1">
                  <c:v>Supermarket Type1</c:v>
                </c:pt>
              </c:strCache>
            </c:strRef>
          </c:cat>
          <c:val>
            <c:numRef>
              <c:f>SheetsDesign!$B$108:$B$109</c:f>
              <c:numCache>
                <c:formatCode>"$"0.0,"K"</c:formatCode>
                <c:ptCount val="2"/>
                <c:pt idx="0">
                  <c:v>32570.122999999989</c:v>
                </c:pt>
                <c:pt idx="1">
                  <c:v>216421.46300000028</c:v>
                </c:pt>
              </c:numCache>
            </c:numRef>
          </c:val>
          <c:extLst>
            <c:ext xmlns:c16="http://schemas.microsoft.com/office/drawing/2014/chart" uri="{C3380CC4-5D6E-409C-BE32-E72D297353CC}">
              <c16:uniqueId val="{00000001-845B-4D05-91FA-11B9D43566F4}"/>
            </c:ext>
          </c:extLst>
        </c:ser>
        <c:dLbls>
          <c:showLegendKey val="0"/>
          <c:showVal val="0"/>
          <c:showCatName val="0"/>
          <c:showSerName val="0"/>
          <c:showPercent val="0"/>
          <c:showBubbleSize val="0"/>
        </c:dLbls>
        <c:gapWidth val="182"/>
        <c:axId val="742372016"/>
        <c:axId val="742372432"/>
      </c:barChart>
      <c:catAx>
        <c:axId val="74237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372432"/>
        <c:crosses val="autoZero"/>
        <c:auto val="1"/>
        <c:lblAlgn val="ctr"/>
        <c:lblOffset val="100"/>
        <c:noMultiLvlLbl val="0"/>
      </c:catAx>
      <c:valAx>
        <c:axId val="742372432"/>
        <c:scaling>
          <c:orientation val="minMax"/>
        </c:scaling>
        <c:delete val="1"/>
        <c:axPos val="b"/>
        <c:numFmt formatCode="&quot;$&quot;0.0,&quot;K&quot;" sourceLinked="1"/>
        <c:majorTickMark val="none"/>
        <c:minorTickMark val="none"/>
        <c:tickLblPos val="nextTo"/>
        <c:crossAx val="742372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Excel.xlsx]SheetsDesign!PivotTable12</c:name>
    <c:fmtId val="1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SheetsDesign!$B$118</c:f>
              <c:strCache>
                <c:ptCount val="1"/>
                <c:pt idx="0">
                  <c:v>Total</c:v>
                </c:pt>
              </c:strCache>
            </c:strRef>
          </c:tx>
          <c:spPr>
            <a:solidFill>
              <a:schemeClr val="accent1"/>
            </a:solidFill>
            <a:ln>
              <a:noFill/>
            </a:ln>
            <a:effectLst/>
          </c:spPr>
          <c:invertIfNegative val="0"/>
          <c:cat>
            <c:strRef>
              <c:f>SheetsDesign!$A$119:$A$120</c:f>
              <c:strCache>
                <c:ptCount val="2"/>
                <c:pt idx="0">
                  <c:v>Grocery Store</c:v>
                </c:pt>
                <c:pt idx="1">
                  <c:v>Supermarket Type1</c:v>
                </c:pt>
              </c:strCache>
            </c:strRef>
          </c:cat>
          <c:val>
            <c:numRef>
              <c:f>SheetsDesign!$B$119:$B$120</c:f>
              <c:numCache>
                <c:formatCode>\$0</c:formatCode>
                <c:ptCount val="2"/>
                <c:pt idx="0">
                  <c:v>139.78593562231754</c:v>
                </c:pt>
                <c:pt idx="1">
                  <c:v>142.3825414473686</c:v>
                </c:pt>
              </c:numCache>
            </c:numRef>
          </c:val>
          <c:extLst>
            <c:ext xmlns:c16="http://schemas.microsoft.com/office/drawing/2014/chart" uri="{C3380CC4-5D6E-409C-BE32-E72D297353CC}">
              <c16:uniqueId val="{00000001-F730-4978-A36A-F69B4629748D}"/>
            </c:ext>
          </c:extLst>
        </c:ser>
        <c:dLbls>
          <c:showLegendKey val="0"/>
          <c:showVal val="0"/>
          <c:showCatName val="0"/>
          <c:showSerName val="0"/>
          <c:showPercent val="0"/>
          <c:showBubbleSize val="0"/>
        </c:dLbls>
        <c:gapWidth val="182"/>
        <c:axId val="756213408"/>
        <c:axId val="756223808"/>
      </c:barChart>
      <c:catAx>
        <c:axId val="756213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23808"/>
        <c:crosses val="autoZero"/>
        <c:auto val="1"/>
        <c:lblAlgn val="ctr"/>
        <c:lblOffset val="100"/>
        <c:noMultiLvlLbl val="0"/>
      </c:catAx>
      <c:valAx>
        <c:axId val="756223808"/>
        <c:scaling>
          <c:orientation val="minMax"/>
        </c:scaling>
        <c:delete val="1"/>
        <c:axPos val="b"/>
        <c:numFmt formatCode="\$0" sourceLinked="1"/>
        <c:majorTickMark val="out"/>
        <c:minorTickMark val="none"/>
        <c:tickLblPos val="nextTo"/>
        <c:crossAx val="756213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Excel.xlsx]SheetsDesign!PivotTable13</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SheetsDesign!$B$131</c:f>
              <c:strCache>
                <c:ptCount val="1"/>
                <c:pt idx="0">
                  <c:v>Total</c:v>
                </c:pt>
              </c:strCache>
            </c:strRef>
          </c:tx>
          <c:spPr>
            <a:solidFill>
              <a:schemeClr val="accent1"/>
            </a:solidFill>
            <a:ln>
              <a:noFill/>
            </a:ln>
            <a:effectLst/>
          </c:spPr>
          <c:invertIfNegative val="0"/>
          <c:cat>
            <c:strRef>
              <c:f>SheetsDesign!$A$132:$A$133</c:f>
              <c:strCache>
                <c:ptCount val="2"/>
                <c:pt idx="0">
                  <c:v>Grocery Store</c:v>
                </c:pt>
                <c:pt idx="1">
                  <c:v>Supermarket Type1</c:v>
                </c:pt>
              </c:strCache>
            </c:strRef>
          </c:cat>
          <c:val>
            <c:numRef>
              <c:f>SheetsDesign!$B$132:$B$133</c:f>
              <c:numCache>
                <c:formatCode>0</c:formatCode>
                <c:ptCount val="2"/>
                <c:pt idx="0">
                  <c:v>233</c:v>
                </c:pt>
                <c:pt idx="1">
                  <c:v>1520</c:v>
                </c:pt>
              </c:numCache>
            </c:numRef>
          </c:val>
          <c:extLst>
            <c:ext xmlns:c16="http://schemas.microsoft.com/office/drawing/2014/chart" uri="{C3380CC4-5D6E-409C-BE32-E72D297353CC}">
              <c16:uniqueId val="{00000001-165E-466F-A9C9-F798576D9F4F}"/>
            </c:ext>
          </c:extLst>
        </c:ser>
        <c:dLbls>
          <c:showLegendKey val="0"/>
          <c:showVal val="0"/>
          <c:showCatName val="0"/>
          <c:showSerName val="0"/>
          <c:showPercent val="0"/>
          <c:showBubbleSize val="0"/>
        </c:dLbls>
        <c:gapWidth val="182"/>
        <c:axId val="756220064"/>
        <c:axId val="756224640"/>
      </c:barChart>
      <c:catAx>
        <c:axId val="7562200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224640"/>
        <c:crosses val="autoZero"/>
        <c:auto val="1"/>
        <c:lblAlgn val="ctr"/>
        <c:lblOffset val="100"/>
        <c:noMultiLvlLbl val="0"/>
      </c:catAx>
      <c:valAx>
        <c:axId val="756224640"/>
        <c:scaling>
          <c:orientation val="minMax"/>
        </c:scaling>
        <c:delete val="1"/>
        <c:axPos val="b"/>
        <c:numFmt formatCode="0" sourceLinked="1"/>
        <c:majorTickMark val="out"/>
        <c:minorTickMark val="none"/>
        <c:tickLblPos val="nextTo"/>
        <c:crossAx val="756220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Excel.xlsx]SheetsDesign!PivotTable2</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8.8694821021525316E-2"/>
              <c:y val="0.1677981866066811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9"/>
        <c:spPr>
          <a:solidFill>
            <a:schemeClr val="accent6">
              <a:lumMod val="50000"/>
            </a:schemeClr>
          </a:solidFill>
          <a:ln w="19050">
            <a:solidFill>
              <a:schemeClr val="lt1"/>
            </a:solidFill>
          </a:ln>
          <a:effectLst/>
        </c:spPr>
        <c:dLbl>
          <c:idx val="0"/>
          <c:layout>
            <c:manualLayout>
              <c:x val="-0.11024305555555555"/>
              <c:y val="-0.1418850294535852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3203125"/>
                  <c:h val="0.22533922405037579"/>
                </c:manualLayout>
              </c15:layout>
            </c:ext>
          </c:extLst>
        </c:dLbl>
      </c:pivotFmt>
    </c:pivotFmts>
    <c:plotArea>
      <c:layout>
        <c:manualLayout>
          <c:layoutTarget val="inner"/>
          <c:xMode val="edge"/>
          <c:yMode val="edge"/>
          <c:x val="0.18675086805555555"/>
          <c:y val="0.14921338614665855"/>
          <c:w val="0.59912876398891168"/>
          <c:h val="0.75404194627449206"/>
        </c:manualLayout>
      </c:layout>
      <c:doughnutChart>
        <c:varyColors val="1"/>
        <c:ser>
          <c:idx val="0"/>
          <c:order val="0"/>
          <c:tx>
            <c:strRef>
              <c:f>SheetsDesign!$B$12</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2697-4913-AAD4-586E13DD68A5}"/>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2697-4913-AAD4-586E13DD68A5}"/>
              </c:ext>
            </c:extLst>
          </c:dPt>
          <c:dLbls>
            <c:dLbl>
              <c:idx val="0"/>
              <c:layout>
                <c:manualLayout>
                  <c:x val="8.8694821021525316E-2"/>
                  <c:y val="0.16779818660668111"/>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2697-4913-AAD4-586E13DD68A5}"/>
                </c:ext>
              </c:extLst>
            </c:dLbl>
            <c:dLbl>
              <c:idx val="1"/>
              <c:layout>
                <c:manualLayout>
                  <c:x val="-0.11024305555555555"/>
                  <c:y val="-0.1418850294535852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3203125"/>
                      <c:h val="0.22533922405037579"/>
                    </c:manualLayout>
                  </c15:layout>
                </c:ext>
                <c:ext xmlns:c16="http://schemas.microsoft.com/office/drawing/2014/chart" uri="{C3380CC4-5D6E-409C-BE32-E72D297353CC}">
                  <c16:uniqueId val="{00000003-2697-4913-AAD4-586E13DD68A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SheetsDesign!$A$13:$A$14</c:f>
              <c:strCache>
                <c:ptCount val="2"/>
                <c:pt idx="0">
                  <c:v>Low Fat</c:v>
                </c:pt>
                <c:pt idx="1">
                  <c:v>Regular</c:v>
                </c:pt>
              </c:strCache>
            </c:strRef>
          </c:cat>
          <c:val>
            <c:numRef>
              <c:f>SheetsDesign!$B$13:$B$14</c:f>
              <c:numCache>
                <c:formatCode>"$"0.0,"K"</c:formatCode>
                <c:ptCount val="2"/>
                <c:pt idx="0">
                  <c:v>122862.29199999984</c:v>
                </c:pt>
                <c:pt idx="1">
                  <c:v>126129.29400000021</c:v>
                </c:pt>
              </c:numCache>
            </c:numRef>
          </c:val>
          <c:extLst>
            <c:ext xmlns:c16="http://schemas.microsoft.com/office/drawing/2014/chart" uri="{C3380CC4-5D6E-409C-BE32-E72D297353CC}">
              <c16:uniqueId val="{00000005-6EC5-46AE-A59B-794BB29403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Excel.xlsx]SheetsDesign!PivotTable3</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D09E00"/>
          </a:solidFill>
          <a:ln>
            <a:noFill/>
          </a:ln>
          <a:effectLst/>
        </c:spPr>
        <c:marker>
          <c:symbol val="none"/>
        </c:marker>
      </c:pivotFmt>
      <c:pivotFmt>
        <c:idx val="7"/>
        <c:spPr>
          <a:solidFill>
            <a:schemeClr val="accent6">
              <a:lumMod val="75000"/>
            </a:schemeClr>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0.14624142433413587"/>
          <c:y val="0.18097219119518207"/>
          <c:w val="0.81123648082598099"/>
          <c:h val="0.74632587304127085"/>
        </c:manualLayout>
      </c:layout>
      <c:barChart>
        <c:barDir val="bar"/>
        <c:grouping val="clustered"/>
        <c:varyColors val="0"/>
        <c:ser>
          <c:idx val="0"/>
          <c:order val="0"/>
          <c:tx>
            <c:strRef>
              <c:f>SheetsDesign!$B$22:$B$23</c:f>
              <c:strCache>
                <c:ptCount val="1"/>
                <c:pt idx="0">
                  <c:v>Regular</c:v>
                </c:pt>
              </c:strCache>
            </c:strRef>
          </c:tx>
          <c:spPr>
            <a:solidFill>
              <a:srgbClr val="D09E00"/>
            </a:solidFill>
            <a:ln>
              <a:noFill/>
            </a:ln>
            <a:effectLst/>
          </c:spPr>
          <c:invertIfNegative val="0"/>
          <c:cat>
            <c:strRef>
              <c:f>SheetsDesign!$A$24:$A$25</c:f>
              <c:strCache>
                <c:ptCount val="2"/>
                <c:pt idx="0">
                  <c:v>Tier 2</c:v>
                </c:pt>
                <c:pt idx="1">
                  <c:v>Tier 3</c:v>
                </c:pt>
              </c:strCache>
            </c:strRef>
          </c:cat>
          <c:val>
            <c:numRef>
              <c:f>SheetsDesign!$B$24:$B$25</c:f>
              <c:numCache>
                <c:formatCode>"$"0.0,"K"</c:formatCode>
                <c:ptCount val="2"/>
                <c:pt idx="0">
                  <c:v>60000.70340000002</c:v>
                </c:pt>
                <c:pt idx="1">
                  <c:v>66128.590600000054</c:v>
                </c:pt>
              </c:numCache>
            </c:numRef>
          </c:val>
          <c:extLst>
            <c:ext xmlns:c16="http://schemas.microsoft.com/office/drawing/2014/chart" uri="{C3380CC4-5D6E-409C-BE32-E72D297353CC}">
              <c16:uniqueId val="{00000004-6513-4FAF-B8AD-C2857A2B03B4}"/>
            </c:ext>
          </c:extLst>
        </c:ser>
        <c:ser>
          <c:idx val="1"/>
          <c:order val="1"/>
          <c:tx>
            <c:strRef>
              <c:f>SheetsDesign!$C$22:$C$23</c:f>
              <c:strCache>
                <c:ptCount val="1"/>
                <c:pt idx="0">
                  <c:v>Low Fat</c:v>
                </c:pt>
              </c:strCache>
            </c:strRef>
          </c:tx>
          <c:spPr>
            <a:solidFill>
              <a:schemeClr val="accent6">
                <a:lumMod val="75000"/>
              </a:schemeClr>
            </a:solidFill>
            <a:ln>
              <a:noFill/>
            </a:ln>
            <a:effectLst/>
          </c:spPr>
          <c:invertIfNegative val="0"/>
          <c:cat>
            <c:strRef>
              <c:f>SheetsDesign!$A$24:$A$25</c:f>
              <c:strCache>
                <c:ptCount val="2"/>
                <c:pt idx="0">
                  <c:v>Tier 2</c:v>
                </c:pt>
                <c:pt idx="1">
                  <c:v>Tier 3</c:v>
                </c:pt>
              </c:strCache>
            </c:strRef>
          </c:cat>
          <c:val>
            <c:numRef>
              <c:f>SheetsDesign!$C$24:$C$25</c:f>
              <c:numCache>
                <c:formatCode>"$"0.0,"K"</c:formatCode>
                <c:ptCount val="2"/>
                <c:pt idx="0">
                  <c:v>24611.744000000002</c:v>
                </c:pt>
                <c:pt idx="1">
                  <c:v>98250.54799999985</c:v>
                </c:pt>
              </c:numCache>
            </c:numRef>
          </c:val>
          <c:extLst>
            <c:ext xmlns:c16="http://schemas.microsoft.com/office/drawing/2014/chart" uri="{C3380CC4-5D6E-409C-BE32-E72D297353CC}">
              <c16:uniqueId val="{00000005-6513-4FAF-B8AD-C2857A2B03B4}"/>
            </c:ext>
          </c:extLst>
        </c:ser>
        <c:dLbls>
          <c:showLegendKey val="0"/>
          <c:showVal val="0"/>
          <c:showCatName val="0"/>
          <c:showSerName val="0"/>
          <c:showPercent val="0"/>
          <c:showBubbleSize val="0"/>
        </c:dLbls>
        <c:gapWidth val="60"/>
        <c:axId val="770682688"/>
        <c:axId val="770699744"/>
      </c:barChart>
      <c:catAx>
        <c:axId val="77068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699744"/>
        <c:crosses val="autoZero"/>
        <c:auto val="1"/>
        <c:lblAlgn val="ctr"/>
        <c:lblOffset val="100"/>
        <c:noMultiLvlLbl val="0"/>
      </c:catAx>
      <c:valAx>
        <c:axId val="770699744"/>
        <c:scaling>
          <c:orientation val="minMax"/>
        </c:scaling>
        <c:delete val="1"/>
        <c:axPos val="b"/>
        <c:numFmt formatCode="&quot;$&quot;0.0,&quot;K&quot;" sourceLinked="1"/>
        <c:majorTickMark val="out"/>
        <c:minorTickMark val="none"/>
        <c:tickLblPos val="nextTo"/>
        <c:crossAx val="77068268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Excel.xlsx]SheetsDesign!PivotTable4</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D0AC2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152928146793689"/>
          <c:y val="2.1802380588178641E-2"/>
          <c:w val="0.5355738419285031"/>
          <c:h val="0.95639523882364275"/>
        </c:manualLayout>
      </c:layout>
      <c:barChart>
        <c:barDir val="bar"/>
        <c:grouping val="clustered"/>
        <c:varyColors val="0"/>
        <c:ser>
          <c:idx val="0"/>
          <c:order val="0"/>
          <c:tx>
            <c:strRef>
              <c:f>SheetsDesign!$B$33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SheetsDesign!$A$34:$A$49</c:f>
              <c:strCache>
                <c:ptCount val="16"/>
                <c:pt idx="0">
                  <c:v>Seafood</c:v>
                </c:pt>
                <c:pt idx="1">
                  <c:v>Hard Drinks</c:v>
                </c:pt>
                <c:pt idx="2">
                  <c:v>Breakfast</c:v>
                </c:pt>
                <c:pt idx="3">
                  <c:v>Others</c:v>
                </c:pt>
                <c:pt idx="4">
                  <c:v>Starchy Foods</c:v>
                </c:pt>
                <c:pt idx="5">
                  <c:v>Breads</c:v>
                </c:pt>
                <c:pt idx="6">
                  <c:v>Health and Hygiene</c:v>
                </c:pt>
                <c:pt idx="7">
                  <c:v>Soft Drinks</c:v>
                </c:pt>
                <c:pt idx="8">
                  <c:v>Meat</c:v>
                </c:pt>
                <c:pt idx="9">
                  <c:v>Canned</c:v>
                </c:pt>
                <c:pt idx="10">
                  <c:v>Baking Goods</c:v>
                </c:pt>
                <c:pt idx="11">
                  <c:v>Dairy</c:v>
                </c:pt>
                <c:pt idx="12">
                  <c:v>Household</c:v>
                </c:pt>
                <c:pt idx="13">
                  <c:v>Frozen Foods</c:v>
                </c:pt>
                <c:pt idx="14">
                  <c:v>Fruits and Vegetables</c:v>
                </c:pt>
                <c:pt idx="15">
                  <c:v>Snack Foods</c:v>
                </c:pt>
              </c:strCache>
            </c:strRef>
          </c:cat>
          <c:val>
            <c:numRef>
              <c:f>SheetsDesign!$B$34:$B$49</c:f>
              <c:numCache>
                <c:formatCode>"$"0.0,"K"</c:formatCode>
                <c:ptCount val="16"/>
                <c:pt idx="0">
                  <c:v>2252.404</c:v>
                </c:pt>
                <c:pt idx="1">
                  <c:v>3264.3330000000001</c:v>
                </c:pt>
                <c:pt idx="2">
                  <c:v>4073.3037999999997</c:v>
                </c:pt>
                <c:pt idx="3">
                  <c:v>4459.4574000000002</c:v>
                </c:pt>
                <c:pt idx="4">
                  <c:v>5865.8611999999994</c:v>
                </c:pt>
                <c:pt idx="5">
                  <c:v>7357.453199999999</c:v>
                </c:pt>
                <c:pt idx="6">
                  <c:v>8241.7698</c:v>
                </c:pt>
                <c:pt idx="7">
                  <c:v>14216.069200000002</c:v>
                </c:pt>
                <c:pt idx="8">
                  <c:v>15189.982400000003</c:v>
                </c:pt>
                <c:pt idx="9">
                  <c:v>19360.379599999993</c:v>
                </c:pt>
                <c:pt idx="10">
                  <c:v>20278.18399999999</c:v>
                </c:pt>
                <c:pt idx="11">
                  <c:v>21092.504599999989</c:v>
                </c:pt>
                <c:pt idx="12">
                  <c:v>21185.027000000006</c:v>
                </c:pt>
                <c:pt idx="13">
                  <c:v>24986.254999999994</c:v>
                </c:pt>
                <c:pt idx="14">
                  <c:v>34833.221400000009</c:v>
                </c:pt>
                <c:pt idx="15">
                  <c:v>42335.380400000038</c:v>
                </c:pt>
              </c:numCache>
            </c:numRef>
          </c:val>
          <c:extLst>
            <c:ext xmlns:c16="http://schemas.microsoft.com/office/drawing/2014/chart" uri="{C3380CC4-5D6E-409C-BE32-E72D297353CC}">
              <c16:uniqueId val="{00000001-7D7B-4851-9C35-5838CE2F54BD}"/>
            </c:ext>
          </c:extLst>
        </c:ser>
        <c:dLbls>
          <c:dLblPos val="outEnd"/>
          <c:showLegendKey val="0"/>
          <c:showVal val="1"/>
          <c:showCatName val="0"/>
          <c:showSerName val="0"/>
          <c:showPercent val="0"/>
          <c:showBubbleSize val="0"/>
        </c:dLbls>
        <c:gapWidth val="50"/>
        <c:axId val="610281632"/>
        <c:axId val="610279552"/>
      </c:barChart>
      <c:catAx>
        <c:axId val="610281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10279552"/>
        <c:crosses val="autoZero"/>
        <c:auto val="1"/>
        <c:lblAlgn val="ctr"/>
        <c:lblOffset val="100"/>
        <c:noMultiLvlLbl val="0"/>
      </c:catAx>
      <c:valAx>
        <c:axId val="610279552"/>
        <c:scaling>
          <c:orientation val="minMax"/>
        </c:scaling>
        <c:delete val="1"/>
        <c:axPos val="b"/>
        <c:numFmt formatCode="&quot;$&quot;0.0,&quot;K&quot;" sourceLinked="1"/>
        <c:majorTickMark val="out"/>
        <c:minorTickMark val="none"/>
        <c:tickLblPos val="nextTo"/>
        <c:crossAx val="6102816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Excel.xlsx]SheetsDesign!PivotTable5</c:name>
    <c:fmtId val="10"/>
  </c:pivotSource>
  <c:chart>
    <c:autoTitleDeleted val="1"/>
    <c:pivotFmts>
      <c:pivotFmt>
        <c:idx val="0"/>
      </c:pivotFmt>
      <c:pivotFmt>
        <c:idx val="1"/>
      </c:pivotFmt>
      <c:pivotFmt>
        <c:idx val="2"/>
      </c:pivotFmt>
      <c:pivotFmt>
        <c:idx val="3"/>
      </c:pivotFmt>
      <c:pivotFmt>
        <c:idx val="4"/>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18534906588003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dLbl>
          <c:idx val="0"/>
          <c:layout>
            <c:manualLayout>
              <c:x val="-1.3508063622625121E-2"/>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0"/>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2.2513439371041866E-3"/>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dLbl>
          <c:idx val="0"/>
          <c:layout>
            <c:manualLayout>
              <c:x val="0"/>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1256719685521017E-2"/>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9.0053757484167465E-3"/>
              <c:y val="-0.374631268436578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alpha val="80000"/>
            </a:srgbClr>
          </a:solidFill>
          <a:ln w="25400">
            <a:solidFill>
              <a:schemeClr val="tx1"/>
            </a:solidFill>
          </a:ln>
          <a:effectLst>
            <a:innerShdw dist="12700" dir="16200000">
              <a:schemeClr val="lt1">
                <a:alpha val="75000"/>
              </a:schemeClr>
            </a:innerShdw>
          </a:effectLst>
        </c:spPr>
        <c:dLbl>
          <c:idx val="0"/>
          <c:layout>
            <c:manualLayout>
              <c:x val="6.7540318113125603E-3"/>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dLbl>
          <c:idx val="0"/>
          <c:layout>
            <c:manualLayout>
              <c:x val="-1.5759407559729308E-2"/>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0403203290153E-2"/>
          <c:y val="3.8505899705014758E-2"/>
          <c:w val="0.93191935934196934"/>
          <c:h val="0.83120501474926267"/>
        </c:manualLayout>
      </c:layout>
      <c:areaChart>
        <c:grouping val="standard"/>
        <c:varyColors val="0"/>
        <c:ser>
          <c:idx val="0"/>
          <c:order val="0"/>
          <c:tx>
            <c:strRef>
              <c:f>SheetsDesign!$B$56</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CB89-4746-A281-BA849F6FA320}"/>
              </c:ext>
            </c:extLst>
          </c:dPt>
          <c:dPt>
            <c:idx val="1"/>
            <c:bubble3D val="0"/>
            <c:extLst>
              <c:ext xmlns:c16="http://schemas.microsoft.com/office/drawing/2014/chart" uri="{C3380CC4-5D6E-409C-BE32-E72D297353CC}">
                <c16:uniqueId val="{00000001-CB89-4746-A281-BA849F6FA320}"/>
              </c:ext>
            </c:extLst>
          </c:dPt>
          <c:dPt>
            <c:idx val="2"/>
            <c:bubble3D val="0"/>
            <c:extLst>
              <c:ext xmlns:c16="http://schemas.microsoft.com/office/drawing/2014/chart" uri="{C3380CC4-5D6E-409C-BE32-E72D297353CC}">
                <c16:uniqueId val="{00000002-CB89-4746-A281-BA849F6FA320}"/>
              </c:ext>
            </c:extLst>
          </c:dPt>
          <c:dPt>
            <c:idx val="3"/>
            <c:bubble3D val="0"/>
            <c:extLst>
              <c:ext xmlns:c16="http://schemas.microsoft.com/office/drawing/2014/chart" uri="{C3380CC4-5D6E-409C-BE32-E72D297353CC}">
                <c16:uniqueId val="{00000003-CB89-4746-A281-BA849F6FA320}"/>
              </c:ext>
            </c:extLst>
          </c:dPt>
          <c:dLbls>
            <c:dLbl>
              <c:idx val="0"/>
              <c:layout>
                <c:manualLayout>
                  <c:x val="0"/>
                  <c:y val="-0.2185349065880039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CB89-4746-A281-BA849F6FA320}"/>
                </c:ext>
              </c:extLst>
            </c:dLbl>
            <c:dLbl>
              <c:idx val="1"/>
              <c:layout>
                <c:manualLayout>
                  <c:x val="0"/>
                  <c:y val="-0.2747295968534906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B89-4746-A281-BA849F6FA320}"/>
                </c:ext>
              </c:extLst>
            </c:dLbl>
            <c:dLbl>
              <c:idx val="2"/>
              <c:layout>
                <c:manualLayout>
                  <c:x val="-2.2513439371041866E-3"/>
                  <c:y val="-0.2747295968534907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CB89-4746-A281-BA849F6FA320}"/>
                </c:ext>
              </c:extLst>
            </c:dLbl>
            <c:dLbl>
              <c:idx val="3"/>
              <c:layout>
                <c:manualLayout>
                  <c:x val="6.7540318113125603E-3"/>
                  <c:y val="-0.2747295968534907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B89-4746-A281-BA849F6FA3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SheetsDesign!$A$57:$A$60</c:f>
              <c:strCache>
                <c:ptCount val="4"/>
                <c:pt idx="0">
                  <c:v>2011</c:v>
                </c:pt>
                <c:pt idx="1">
                  <c:v>2014</c:v>
                </c:pt>
                <c:pt idx="2">
                  <c:v>2015</c:v>
                </c:pt>
                <c:pt idx="3">
                  <c:v>2020</c:v>
                </c:pt>
              </c:strCache>
            </c:strRef>
          </c:cat>
          <c:val>
            <c:numRef>
              <c:f>SheetsDesign!$B$57:$B$60</c:f>
              <c:numCache>
                <c:formatCode>"$"0.0,"K"</c:formatCode>
                <c:ptCount val="4"/>
                <c:pt idx="0">
                  <c:v>32570.122999999989</c:v>
                </c:pt>
                <c:pt idx="1">
                  <c:v>131809.01559999996</c:v>
                </c:pt>
                <c:pt idx="2">
                  <c:v>39556.22000000003</c:v>
                </c:pt>
                <c:pt idx="3">
                  <c:v>45056.227400000025</c:v>
                </c:pt>
              </c:numCache>
            </c:numRef>
          </c:val>
          <c:extLst>
            <c:ext xmlns:c16="http://schemas.microsoft.com/office/drawing/2014/chart" uri="{C3380CC4-5D6E-409C-BE32-E72D297353CC}">
              <c16:uniqueId val="{0000000A-C8E4-46CE-82D2-69320C8C4636}"/>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770701824"/>
        <c:axId val="770686016"/>
      </c:areaChart>
      <c:catAx>
        <c:axId val="7707018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770686016"/>
        <c:crosses val="autoZero"/>
        <c:auto val="1"/>
        <c:lblAlgn val="ctr"/>
        <c:lblOffset val="100"/>
        <c:noMultiLvlLbl val="0"/>
      </c:catAx>
      <c:valAx>
        <c:axId val="770686016"/>
        <c:scaling>
          <c:orientation val="minMax"/>
        </c:scaling>
        <c:delete val="1"/>
        <c:axPos val="l"/>
        <c:numFmt formatCode="&quot;$&quot;0.0,&quot;K&quot;" sourceLinked="1"/>
        <c:majorTickMark val="out"/>
        <c:minorTickMark val="none"/>
        <c:tickLblPos val="nextTo"/>
        <c:crossAx val="77070182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Excel.xlsx]SheetsDesign!PivotTable6</c:name>
    <c:fmtId val="1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accent6">
              <a:lumMod val="40000"/>
              <a:lumOff val="60000"/>
            </a:schemeClr>
          </a:solidFill>
          <a:ln w="19050">
            <a:solidFill>
              <a:schemeClr val="lt1"/>
            </a:solidFill>
          </a:ln>
          <a:effectLst/>
        </c:spPr>
        <c:dLbl>
          <c:idx val="0"/>
          <c:layout>
            <c:manualLayout>
              <c:x val="0.15217864923747276"/>
              <c:y val="-5.64444444444444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1673928830791575"/>
              <c:y val="-5.64444444444444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8.3006535947712415E-2"/>
              <c:y val="-0.113336388594350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19184495279593319"/>
          <c:y val="0.12531289561201206"/>
          <c:w val="0.67625962236746551"/>
          <c:h val="0.81133690613000953"/>
        </c:manualLayout>
      </c:layout>
      <c:doughnutChart>
        <c:varyColors val="1"/>
        <c:ser>
          <c:idx val="0"/>
          <c:order val="0"/>
          <c:tx>
            <c:strRef>
              <c:f>SheetsDesign!$B$74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14-4566-8A28-F772735BF4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SheetsDesign!$A$75</c:f>
              <c:strCache>
                <c:ptCount val="1"/>
                <c:pt idx="0">
                  <c:v>High</c:v>
                </c:pt>
              </c:strCache>
            </c:strRef>
          </c:cat>
          <c:val>
            <c:numRef>
              <c:f>SheetsDesign!$B$75</c:f>
              <c:numCache>
                <c:formatCode>"$"0.0,"K"</c:formatCode>
                <c:ptCount val="1"/>
                <c:pt idx="0">
                  <c:v>248991.5860000001</c:v>
                </c:pt>
              </c:numCache>
            </c:numRef>
          </c:val>
          <c:extLst>
            <c:ext xmlns:c16="http://schemas.microsoft.com/office/drawing/2014/chart" uri="{C3380CC4-5D6E-409C-BE32-E72D297353CC}">
              <c16:uniqueId val="{00000007-67C9-46D3-B395-9BEA3ED3DBF8}"/>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Excel.xlsx]SheetsDesign!PivotTable11</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2">
              <a:lumMod val="75000"/>
            </a:schemeClr>
          </a:solidFill>
          <a:ln>
            <a:noFill/>
          </a:ln>
          <a:effectLst/>
        </c:spPr>
        <c:dLbl>
          <c:idx val="0"/>
          <c:layout>
            <c:manualLayout>
              <c:x val="-2.438137539370162E-2"/>
              <c:y val="-1.518692617241399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9743089415910551"/>
          <c:y val="2.8983903976989876E-2"/>
          <c:w val="0.64893007997475083"/>
          <c:h val="0.96494055961936431"/>
        </c:manualLayout>
      </c:layout>
      <c:barChart>
        <c:barDir val="bar"/>
        <c:grouping val="clustered"/>
        <c:varyColors val="0"/>
        <c:ser>
          <c:idx val="0"/>
          <c:order val="0"/>
          <c:tx>
            <c:strRef>
              <c:f>SheetsDesign!$B$107</c:f>
              <c:strCache>
                <c:ptCount val="1"/>
                <c:pt idx="0">
                  <c:v>Total</c:v>
                </c:pt>
              </c:strCache>
            </c:strRef>
          </c:tx>
          <c:spPr>
            <a:solidFill>
              <a:schemeClr val="accent2">
                <a:lumMod val="75000"/>
              </a:schemeClr>
            </a:solidFill>
            <a:ln>
              <a:noFill/>
            </a:ln>
            <a:effectLst/>
          </c:spPr>
          <c:invertIfNegative val="0"/>
          <c:dPt>
            <c:idx val="1"/>
            <c:invertIfNegative val="0"/>
            <c:bubble3D val="0"/>
            <c:extLst>
              <c:ext xmlns:c16="http://schemas.microsoft.com/office/drawing/2014/chart" uri="{C3380CC4-5D6E-409C-BE32-E72D297353CC}">
                <c16:uniqueId val="{00000000-AA8C-4F1C-881E-5A3C5D373565}"/>
              </c:ext>
            </c:extLst>
          </c:dPt>
          <c:dLbls>
            <c:dLbl>
              <c:idx val="1"/>
              <c:layout>
                <c:manualLayout>
                  <c:x val="-2.438137539370162E-2"/>
                  <c:y val="-1.5186926172413997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A8C-4F1C-881E-5A3C5D3735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SheetsDesign!$A$108:$A$109</c:f>
              <c:strCache>
                <c:ptCount val="2"/>
                <c:pt idx="0">
                  <c:v>Grocery Store</c:v>
                </c:pt>
                <c:pt idx="1">
                  <c:v>Supermarket Type1</c:v>
                </c:pt>
              </c:strCache>
            </c:strRef>
          </c:cat>
          <c:val>
            <c:numRef>
              <c:f>SheetsDesign!$B$108:$B$109</c:f>
              <c:numCache>
                <c:formatCode>"$"0.0,"K"</c:formatCode>
                <c:ptCount val="2"/>
                <c:pt idx="0">
                  <c:v>32570.122999999989</c:v>
                </c:pt>
                <c:pt idx="1">
                  <c:v>216421.46300000028</c:v>
                </c:pt>
              </c:numCache>
            </c:numRef>
          </c:val>
          <c:extLst>
            <c:ext xmlns:c16="http://schemas.microsoft.com/office/drawing/2014/chart" uri="{C3380CC4-5D6E-409C-BE32-E72D297353CC}">
              <c16:uniqueId val="{00000002-950C-433E-B1B5-2389D5073E2B}"/>
            </c:ext>
          </c:extLst>
        </c:ser>
        <c:dLbls>
          <c:showLegendKey val="0"/>
          <c:showVal val="0"/>
          <c:showCatName val="0"/>
          <c:showSerName val="0"/>
          <c:showPercent val="0"/>
          <c:showBubbleSize val="0"/>
        </c:dLbls>
        <c:gapWidth val="60"/>
        <c:axId val="742372016"/>
        <c:axId val="742372432"/>
      </c:barChart>
      <c:catAx>
        <c:axId val="742372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372432"/>
        <c:crosses val="autoZero"/>
        <c:auto val="1"/>
        <c:lblAlgn val="ctr"/>
        <c:lblOffset val="100"/>
        <c:noMultiLvlLbl val="0"/>
      </c:catAx>
      <c:valAx>
        <c:axId val="742372432"/>
        <c:scaling>
          <c:orientation val="minMax"/>
        </c:scaling>
        <c:delete val="1"/>
        <c:axPos val="b"/>
        <c:numFmt formatCode="&quot;$&quot;0.0,&quot;K&quot;" sourceLinked="1"/>
        <c:majorTickMark val="out"/>
        <c:minorTickMark val="none"/>
        <c:tickLblPos val="nextTo"/>
        <c:crossAx val="742372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Excel.xlsx]SheetsDesign!PivotTable12</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20396488401621E-2"/>
          <c:y val="5.923133118759101E-2"/>
          <c:w val="0.85749470318227061"/>
          <c:h val="0.90751144402829798"/>
        </c:manualLayout>
      </c:layout>
      <c:barChart>
        <c:barDir val="bar"/>
        <c:grouping val="clustered"/>
        <c:varyColors val="0"/>
        <c:ser>
          <c:idx val="0"/>
          <c:order val="0"/>
          <c:tx>
            <c:strRef>
              <c:f>SheetsDesign!$B$118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SheetsDesign!$A$119:$A$120</c:f>
              <c:strCache>
                <c:ptCount val="2"/>
                <c:pt idx="0">
                  <c:v>Grocery Store</c:v>
                </c:pt>
                <c:pt idx="1">
                  <c:v>Supermarket Type1</c:v>
                </c:pt>
              </c:strCache>
            </c:strRef>
          </c:cat>
          <c:val>
            <c:numRef>
              <c:f>SheetsDesign!$B$119:$B$120</c:f>
              <c:numCache>
                <c:formatCode>\$0</c:formatCode>
                <c:ptCount val="2"/>
                <c:pt idx="0">
                  <c:v>139.78593562231754</c:v>
                </c:pt>
                <c:pt idx="1">
                  <c:v>142.3825414473686</c:v>
                </c:pt>
              </c:numCache>
            </c:numRef>
          </c:val>
          <c:extLst>
            <c:ext xmlns:c16="http://schemas.microsoft.com/office/drawing/2014/chart" uri="{C3380CC4-5D6E-409C-BE32-E72D297353CC}">
              <c16:uniqueId val="{00000002-1FDF-4742-90C4-1927FDD4A4F3}"/>
            </c:ext>
          </c:extLst>
        </c:ser>
        <c:dLbls>
          <c:dLblPos val="outEnd"/>
          <c:showLegendKey val="0"/>
          <c:showVal val="1"/>
          <c:showCatName val="0"/>
          <c:showSerName val="0"/>
          <c:showPercent val="0"/>
          <c:showBubbleSize val="0"/>
        </c:dLbls>
        <c:gapWidth val="60"/>
        <c:axId val="756213408"/>
        <c:axId val="756223808"/>
      </c:barChart>
      <c:catAx>
        <c:axId val="756213408"/>
        <c:scaling>
          <c:orientation val="minMax"/>
        </c:scaling>
        <c:delete val="1"/>
        <c:axPos val="l"/>
        <c:numFmt formatCode="General" sourceLinked="1"/>
        <c:majorTickMark val="out"/>
        <c:minorTickMark val="none"/>
        <c:tickLblPos val="nextTo"/>
        <c:crossAx val="756223808"/>
        <c:crosses val="autoZero"/>
        <c:auto val="1"/>
        <c:lblAlgn val="ctr"/>
        <c:lblOffset val="100"/>
        <c:noMultiLvlLbl val="0"/>
      </c:catAx>
      <c:valAx>
        <c:axId val="756223808"/>
        <c:scaling>
          <c:orientation val="minMax"/>
        </c:scaling>
        <c:delete val="1"/>
        <c:axPos val="b"/>
        <c:numFmt formatCode="\$0" sourceLinked="1"/>
        <c:majorTickMark val="out"/>
        <c:minorTickMark val="none"/>
        <c:tickLblPos val="nextTo"/>
        <c:crossAx val="7562134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Excel.xlsx]SheetsDesign!PivotTable13</c:name>
    <c:fmtId val="2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D0AC2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5450445098216273E-2"/>
          <c:y val="6.4310635561249552E-2"/>
          <c:w val="0.7962837982348161"/>
          <c:h val="0.83630020038954667"/>
        </c:manualLayout>
      </c:layout>
      <c:barChart>
        <c:barDir val="bar"/>
        <c:grouping val="clustered"/>
        <c:varyColors val="0"/>
        <c:ser>
          <c:idx val="0"/>
          <c:order val="0"/>
          <c:tx>
            <c:strRef>
              <c:f>SheetsDesign!$B$131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SheetsDesign!$A$132:$A$133</c:f>
              <c:strCache>
                <c:ptCount val="2"/>
                <c:pt idx="0">
                  <c:v>Grocery Store</c:v>
                </c:pt>
                <c:pt idx="1">
                  <c:v>Supermarket Type1</c:v>
                </c:pt>
              </c:strCache>
            </c:strRef>
          </c:cat>
          <c:val>
            <c:numRef>
              <c:f>SheetsDesign!$B$132:$B$133</c:f>
              <c:numCache>
                <c:formatCode>0</c:formatCode>
                <c:ptCount val="2"/>
                <c:pt idx="0">
                  <c:v>233</c:v>
                </c:pt>
                <c:pt idx="1">
                  <c:v>1520</c:v>
                </c:pt>
              </c:numCache>
            </c:numRef>
          </c:val>
          <c:extLst>
            <c:ext xmlns:c16="http://schemas.microsoft.com/office/drawing/2014/chart" uri="{C3380CC4-5D6E-409C-BE32-E72D297353CC}">
              <c16:uniqueId val="{00000001-3B37-4416-8E57-7E492A7F1A7E}"/>
            </c:ext>
          </c:extLst>
        </c:ser>
        <c:dLbls>
          <c:dLblPos val="outEnd"/>
          <c:showLegendKey val="0"/>
          <c:showVal val="1"/>
          <c:showCatName val="0"/>
          <c:showSerName val="0"/>
          <c:showPercent val="0"/>
          <c:showBubbleSize val="0"/>
        </c:dLbls>
        <c:gapWidth val="60"/>
        <c:axId val="756220064"/>
        <c:axId val="756224640"/>
      </c:barChart>
      <c:catAx>
        <c:axId val="756220064"/>
        <c:scaling>
          <c:orientation val="minMax"/>
        </c:scaling>
        <c:delete val="1"/>
        <c:axPos val="l"/>
        <c:numFmt formatCode="General" sourceLinked="1"/>
        <c:majorTickMark val="out"/>
        <c:minorTickMark val="none"/>
        <c:tickLblPos val="nextTo"/>
        <c:crossAx val="756224640"/>
        <c:crosses val="autoZero"/>
        <c:auto val="1"/>
        <c:lblAlgn val="ctr"/>
        <c:lblOffset val="100"/>
        <c:noMultiLvlLbl val="0"/>
      </c:catAx>
      <c:valAx>
        <c:axId val="756224640"/>
        <c:scaling>
          <c:orientation val="minMax"/>
        </c:scaling>
        <c:delete val="1"/>
        <c:axPos val="b"/>
        <c:numFmt formatCode="0" sourceLinked="1"/>
        <c:majorTickMark val="out"/>
        <c:minorTickMark val="none"/>
        <c:tickLblPos val="nextTo"/>
        <c:crossAx val="7562200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4</xdr:col>
      <xdr:colOff>451485</xdr:colOff>
      <xdr:row>1</xdr:row>
      <xdr:rowOff>118110</xdr:rowOff>
    </xdr:from>
    <xdr:to>
      <xdr:col>7</xdr:col>
      <xdr:colOff>268605</xdr:colOff>
      <xdr:row>14</xdr:row>
      <xdr:rowOff>167640</xdr:rowOff>
    </xdr:to>
    <mc:AlternateContent xmlns:mc="http://schemas.openxmlformats.org/markup-compatibility/2006" xmlns:a14="http://schemas.microsoft.com/office/drawing/2010/main">
      <mc:Choice Requires="a14">
        <xdr:graphicFrame macro="">
          <xdr:nvGraphicFramePr>
            <xdr:cNvPr id="4"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42460" y="327660"/>
              <a:ext cx="1817370" cy="273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220980</xdr:colOff>
      <xdr:row>11</xdr:row>
      <xdr:rowOff>15240</xdr:rowOff>
    </xdr:from>
    <xdr:to>
      <xdr:col>3</xdr:col>
      <xdr:colOff>998220</xdr:colOff>
      <xdr:row>18</xdr:row>
      <xdr:rowOff>182880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236220</xdr:colOff>
      <xdr:row>21</xdr:row>
      <xdr:rowOff>15240</xdr:rowOff>
    </xdr:from>
    <xdr:to>
      <xdr:col>6</xdr:col>
      <xdr:colOff>632460</xdr:colOff>
      <xdr:row>27</xdr:row>
      <xdr:rowOff>182880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228600</xdr:colOff>
      <xdr:row>32</xdr:row>
      <xdr:rowOff>25400</xdr:rowOff>
    </xdr:from>
    <xdr:to>
      <xdr:col>8</xdr:col>
      <xdr:colOff>635000</xdr:colOff>
      <xdr:row>50</xdr:row>
      <xdr:rowOff>177800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473075</xdr:colOff>
      <xdr:row>55</xdr:row>
      <xdr:rowOff>19049</xdr:rowOff>
    </xdr:from>
    <xdr:to>
      <xdr:col>9</xdr:col>
      <xdr:colOff>0</xdr:colOff>
      <xdr:row>68</xdr:row>
      <xdr:rowOff>190499</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161925</xdr:colOff>
      <xdr:row>71</xdr:row>
      <xdr:rowOff>14288</xdr:rowOff>
    </xdr:from>
    <xdr:to>
      <xdr:col>6</xdr:col>
      <xdr:colOff>647700</xdr:colOff>
      <xdr:row>82</xdr:row>
      <xdr:rowOff>152400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57150</xdr:colOff>
      <xdr:row>106</xdr:row>
      <xdr:rowOff>4763</xdr:rowOff>
    </xdr:from>
    <xdr:to>
      <xdr:col>4</xdr:col>
      <xdr:colOff>647700</xdr:colOff>
      <xdr:row>112</xdr:row>
      <xdr:rowOff>180975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95250</xdr:colOff>
      <xdr:row>116</xdr:row>
      <xdr:rowOff>185739</xdr:rowOff>
    </xdr:from>
    <xdr:to>
      <xdr:col>4</xdr:col>
      <xdr:colOff>647700</xdr:colOff>
      <xdr:row>124</xdr:row>
      <xdr:rowOff>38100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152401</xdr:colOff>
      <xdr:row>129</xdr:row>
      <xdr:rowOff>190500</xdr:rowOff>
    </xdr:from>
    <xdr:to>
      <xdr:col>4</xdr:col>
      <xdr:colOff>647700</xdr:colOff>
      <xdr:row>137</xdr:row>
      <xdr:rowOff>152400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180975</xdr:colOff>
      <xdr:row>9</xdr:row>
      <xdr:rowOff>40005</xdr:rowOff>
    </xdr:from>
    <xdr:to>
      <xdr:col>10</xdr:col>
      <xdr:colOff>9525</xdr:colOff>
      <xdr:row>22</xdr:row>
      <xdr:rowOff>59055</xdr:rowOff>
    </xdr:to>
    <mc:AlternateContent xmlns:mc="http://schemas.openxmlformats.org/markup-compatibility/2006" xmlns:a14="http://schemas.microsoft.com/office/drawing/2010/main">
      <mc:Choice Requires="a14">
        <xdr:graphicFrame macro="">
          <xdr:nvGraphicFramePr>
            <xdr:cNvPr id="14"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172200" y="18973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613410</xdr:colOff>
      <xdr:row>8</xdr:row>
      <xdr:rowOff>34290</xdr:rowOff>
    </xdr:from>
    <xdr:to>
      <xdr:col>13</xdr:col>
      <xdr:colOff>441960</xdr:colOff>
      <xdr:row>21</xdr:row>
      <xdr:rowOff>53340</xdr:rowOff>
    </xdr:to>
    <mc:AlternateContent xmlns:mc="http://schemas.openxmlformats.org/markup-compatibility/2006" xmlns:a14="http://schemas.microsoft.com/office/drawing/2010/main">
      <mc:Choice Requires="a14">
        <xdr:graphicFrame macro="">
          <xdr:nvGraphicFramePr>
            <xdr:cNvPr id="15"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604885" y="1682115"/>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506472</xdr:colOff>
      <xdr:row>1</xdr:row>
      <xdr:rowOff>80565</xdr:rowOff>
    </xdr:from>
    <xdr:to>
      <xdr:col>26</xdr:col>
      <xdr:colOff>514152</xdr:colOff>
      <xdr:row>41</xdr:row>
      <xdr:rowOff>8111</xdr:rowOff>
    </xdr:to>
    <xdr:sp macro="" textlink="">
      <xdr:nvSpPr>
        <xdr:cNvPr id="2" name="Rectangle 1"/>
        <xdr:cNvSpPr/>
      </xdr:nvSpPr>
      <xdr:spPr>
        <a:xfrm>
          <a:off x="3190532" y="217043"/>
          <a:ext cx="14770008" cy="7661277"/>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61566</xdr:colOff>
      <xdr:row>2</xdr:row>
      <xdr:rowOff>56871</xdr:rowOff>
    </xdr:from>
    <xdr:to>
      <xdr:col>8</xdr:col>
      <xdr:colOff>284327</xdr:colOff>
      <xdr:row>39</xdr:row>
      <xdr:rowOff>181972</xdr:rowOff>
    </xdr:to>
    <xdr:sp macro="" textlink="">
      <xdr:nvSpPr>
        <xdr:cNvPr id="5" name="Round Same Side Corner Rectangle 4"/>
        <xdr:cNvSpPr/>
      </xdr:nvSpPr>
      <xdr:spPr>
        <a:xfrm rot="5400000">
          <a:off x="895143" y="2908190"/>
          <a:ext cx="7278802" cy="2235805"/>
        </a:xfrm>
        <a:prstGeom prst="round2SameRect">
          <a:avLst>
            <a:gd name="adj1" fmla="val 2022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170595</xdr:colOff>
      <xdr:row>2</xdr:row>
      <xdr:rowOff>34119</xdr:rowOff>
    </xdr:from>
    <xdr:to>
      <xdr:col>8</xdr:col>
      <xdr:colOff>113730</xdr:colOff>
      <xdr:row>6</xdr:row>
      <xdr:rowOff>11374</xdr:rowOff>
    </xdr:to>
    <xdr:sp macro="" textlink="">
      <xdr:nvSpPr>
        <xdr:cNvPr id="6" name="TextBox 5"/>
        <xdr:cNvSpPr txBox="1"/>
      </xdr:nvSpPr>
      <xdr:spPr>
        <a:xfrm>
          <a:off x="3525670" y="363940"/>
          <a:ext cx="1956179" cy="750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editAs="oneCell">
    <xdr:from>
      <xdr:col>13</xdr:col>
      <xdr:colOff>0</xdr:colOff>
      <xdr:row>12</xdr:row>
      <xdr:rowOff>0</xdr:rowOff>
    </xdr:from>
    <xdr:to>
      <xdr:col>13</xdr:col>
      <xdr:colOff>304800</xdr:colOff>
      <xdr:row>13</xdr:row>
      <xdr:rowOff>106680</xdr:rowOff>
    </xdr:to>
    <xdr:sp macro="" textlink="">
      <xdr:nvSpPr>
        <xdr:cNvPr id="3073" name="AutoShape 1" descr="data:image/png;base64,iVBORw0KGgoAAAANSUhEUgAAAGQAAALqCAYAAADDx/HVAAAQAElEQVR4AeyYy65cVxVFT1Wu88Yh4IccyAMTnn5ESQhEiiKgAUor2AmKIDTo0AEJJKBFC36ADv+AhOjQpMEn0KJJh/9AwVxuXclRLGXvQ821517r1h1WyrHPPnOuVWNoS7a319/8xTGfMQxeeONn9z7zyo8+uHrz7vH9zzMv/+AfV27d/dXVW+9eX/6PH9vdO9dfe2/hE2fw4jfe337lWz89uvmdXy5fevMny/WvvbdcvPzi7c3x8vtlOf7n1Zt3/nT19juv75i3PqdCWoc81whsNtvl4ceeWp741LPLZ2++tZxIWq598ZtHjzz+9Nub483frt743vutZoS0yAx8fvTw48ul519drn/9h49dvPL5J5bN9o8nt+Xny8f8QMjHQHE92ol57qW3N9e+/O2TEZs/XLl553cnv3jgP4Q8gGPOby4998py67u/XjbL5reXb9x966NTEfJRGpN//blXv79sN8tfr9x45437oxFyn0TC/5/89PPL5Rdeu7d9aPuXKzfuvrRbASE7ComfK9dff+jkT2RPbDbHv9mtgZAdhcTP9ujh5elnbjx+8ievd3d/efQISfyCZ3H0J6999eTvjcdHx8t/7yCkgMELjz65XLz6heXo6JEfI6SAkN0Kl559ebn3wb9vI2RHo8DnwmMXT7dAyCmG/J8uPPqJ0yUQcooh/6fNyT9Invzr438Qku/iww0uPPrUFiEf4sj/xXZ7hJB8DQ9uwA15kEf6786SkHRYMxZAyAzKe8xAyB6wZryKkBmU95iBkD1gzXgVITMo7zEDIXvAmvEqQmZQ3mMGQvaANeNVhMygvMcMhOwBa8arCJlBeY8ZCNkD1oxXETKD8h4zELIHrBmvImQG5T1mIGQPWDNeRcgMynvMQMgesGa8ipAZlPeYgZA9YO3xqvwqQmR0niBCPFzlVoTI6DxBhHi4yq0IkdF5ggjxcJVbESKj8wQR4uEqtyJERucJIsTDVW7tCpFbCcoEECKj8wQR4uEqtyJERucJIsTDVW5FiIzOE0SIh6vcihAZnSeIEA9XuRUhMjpPMEGI54scSitCiplECEKKESi2DjcEIcUIFFuHG4KQYgSKrcMNQUgxAsXWOZgbUoyrvA5CZHSeIEI8XOVWhMjoPEGEeLjKrQiR0XmCCPFwlVsRIqPzBBHi4Sq3IkRG5wkipMt1/iFC5jPvTkRIF8/8Q4TMZ96diJAunvmHCJnPvDsRIV088w8RMp95dyJCunjmHyJkPvPuRIR08XgOe60I6dFJOENIAvTeSIT06CScISQBem8kQnp0Es4QkgC9NxIhPToJZwhJgN4biZAenYQzhCRA743UhfRaOZMJIERG5wkixMNVbkWIjM4TRIiHq9yKEBmdJ4gQD1e5FSEyOk8QIR6ucitCZHSeYDUhnm95hloRUkwWQhBSjECxdbghCClGoNg63BCEFCNQbB1uCEKKESi2zvm4IcWg99ZBSI9OwhlCEqD3RiKkRyfhDCEJ0HsjEdKjk3CGkATovZEI6dFJOENIAvTeSIT06CScIUSHbkkixIJVL0WIzs6SRIgFq16KEJ2dJYkQC1a9FCE6O0sSIRaseilCdHaWJEIsWPVShOjsLMmtpZVSmQA3REbnCSLEw1VuRYiMzhNEiIer3IoQGZ0niBAPV7kVITI6TxAhHq5yK0JkdJ6gSYhn2fPQipBilhGCkGIEiq3DDUFIMQLF1uGGIKQYgWLrcEMQUoxAsXXO1A0pxs6yDkIsWPVShOjsLEmEWLDqpQjR2VmSCLFg1UsRorOzJBFiwaqXIkRnZ0kixIJVL0XIosNzJBHioBroREgAniOKEAfVQCdCAvAcUYQ4qAY6ERKA54gixEE10ImQADxHFCEOqoFOhATg9aLqGUJUcqYcQkxg1VqEqORMOYSYwKq1CFHJmXIIMYFVaxGikjPlEGICq9YiRCVnyiHEBFat7QtRW8nJBBAio/MEEeLhKrciREbnCSLEw1VuRYiMzhNEiIer3IoQGZ0niBAPV7kVITI6TzBDiOebHEgrQoqJRAhCihEotg43BCHFCBRbhxuCkGIEiq3DDUFIMQLF1jmcG1IMrLoOQlRyphxCTGDVWoSo5Ew5hJjAqrUIUcmZcggxgVVrEaKSM+UQYgKr1iJEJWfKIaQPdvopQqYj7w9ESJ/P9FOETEfeH4iQPp/ppwiZjrw/ECF9PtNPETIdeX8gQvp8pp8iZDry/kCE9Pl4TjutCOnAyThCSAb1zkyEdOBkHCEkg3pnJkI6cDKOEJJBvTMTIR04GUcIyaDemYmQDpyMI4RkUO/MDAjptHIkE0CIjM4TRIiHq9yKEBmdJ4gQD1e5FSEyOk8QIR6ucitCZHSeIEI8XOVWhMjoPMFyQjxf8+y0IqSYK4QgpBiBYutwQxBSjECxdbghCClGoNg63BCEFCNQbJ1zckOKUe+sg5AOnIwjhGRQ78xESAdOxhFCMqh3ZiKkAyfjCCEZ1DszEdKBk3GEkAzqnZkI6cDJOEJIgLojihAH1UAnQgLwHFGEOKgGOhESgOeIIsRBNdCJkAA8RxQhDqqBToQE4DmiCHFQDXQiJADPEd0ujlY6ZQLcEBmdJ4gQD1e5FSEyOk8QIR6ucitCZHSeIEI8XOVWhMjoPEGEeLjKrQiR0XmCLiGebc9BK0KKSUYIQooRKLYONwQhxQgUW4cbgpBiBIqtww1BSDECxdY5WzekGDzHOghxUA10IiQAzxFFiINqoBMhAXiOKEIcVAOdCAnAc0QR4qAa6ERIAJ4jihAH1UAnQpYlgG98FCHjmYYaERLCNz6MkPFMQ40ICeEbH0bIeKahRoSE8I0PI2Q801AjQkL4xocRMp5pqBEhIXydsHiEEBGcK4YQF1mxFyEiOFcMIS6yYi9CRHCuGEJcZMVehIjgXDGEuMiKvQgRwbliCHGRFXtXhIitxGQCCJHReYII8XCVWxEio/MEEeLhKrciREbnCSLEw1VuRYiMzhNEiIer3IoQGZ0nmCLE81UOoxUhxTwiBCHFCBRbhxuCkGIEiq3DDUFIMQLF1uGGIKQYgWLrHNANKUZWXAchIjhXDCEusmIvQkRwrhhCXGTFXoSI4FwxhLjIir0IEcG5YghxkRV7ESKCc8UQskJ29jFCZhNfmYeQFUCzjxEym/jKPISsAJp9jJDZxFfmIWQF0OxjhMwmvjIPISuAZh8jZDbxlXkIWQHkOW63IqTNJuUEISnY20MR0maTcoKQFOztoQhps0k5QUgK9vZQhLTZpJwgJAV7eyhC2mxSThCSgr09NCKk3cqJTAAhMjpPECEernIrQmR0niBCPFzlVoTI6DxBhHi4yq0IkdF5ggjxcJVbESKj8wTrCfF8zzPTipBiqhCCkGIEiq3DDUFIMQLF1uGGIKQYgWLrcEMQUoxAsXXOyw0phr29DkLabFJOEJKCvT0UIW02KScIScHeHoqQNpuUE4SkYG8PRUibTcoJQlKwt4cipM0m5QQhEeyGLEIMUCOVCInQM2QRYoAaqURIhJ4hixAD1EglQiL0DFmEGKBGKhESoWfIIsQANVKJkAg9Q3a7LIZWKmUC3BAZnSeIEA9XuRUhMjpPECEernIrQmR0niBCPFzlVoTI6DxBhHi4yq0IkdF5gjYhnnUPvxUhxRwjBCHFCBRbhxuCkGIEiq3DDUFIMQLF1uGGIKQYgWLrnLEbUoyeYR2EGKBGKhESoWfIIsQANVKJkAg9QxYhBqiRSoRE6BmyCDFAjVQiJELPkEWIAWqkEiHLskQAjs4iZDTRYB9CggBHxxEymmiwDyFBgKPjCBlNNNiHkCDA0XGEjCYa7ENIEODoOEJGEw32ISQIsB3XThCicbOlEGJDqxUjRONmSyHEhlYrRojGzZZCiA2tVowQjZsthRAbWq0YIRo3WwohNrRa8ZoQrZWUTAAhMjpPECEernIrQmR0niBCPFzlVoTI6DxBhHi4yq0IkdF5ggjxcJVbESKj8wRzhHi+y0G0IqSYRoQgpBiBYutwQxBSjECxdbghCClGoNg63BCEFCNQbJ1DuiHF0GrrIETjZkshxIZWK0aIxs2WQogNrVaMEI2bLYUQG1qtGCEaN1sKITa0WjFCNG62FELW0E4+R8hk4GvjELJGaPI5QiYDXxuHkDVCk88RMhn42jiErBGafI6QycDXxiFkjdDkc4RMBr42DiFrhDznzVaENNHkHCAkh3tzKkKaaHIOEJLDvTkVIU00OQcIyeHenIqQJpqcA4TkcG9ORUgTTc4BQnK4N6eGhDRbOZAJIERG5wkixMNVbkWIjM4TRIiHq9yKEBmdJ4gQD1e5FSEyOk8QIR6ucitCZHSeYEEhni96VloRUswUQhBSjECxdbghCClGoNg63BCEFCNQbB1uCEKKESi2zrm5IcW4N9dBSBNNzgFCcrg3pyKkiSbnACE53JtTEdJEk3OAkBzuzakIaaLJOUBIDvfmVIQ00eQcICTEfXwYIeOZhhoREsI3PoyQ8UxDjQgJ4RsfRsh4pqFGhITwjQ8jZDzTUCNCQvjGhxEynmmoESEhfOPDOyHjW2mUCSBERucJIsTDVW5FiIzOE0SIh6vcihAZnSeIEA9XuRUhMjpPECEernIrQmR0nqBPiGffg29FSDHFCEFIMQLF1uGGIKQYgWLrcEMQUoxAsXW4IQgpRqDYOmfthhTDN34dhIxnGmpESAjf+DBCxjMNNSIkhG98GCHjmYYaERLCNz6MkPFMQ40ICeEbH0bIeKahRoTs8BX6IKSQjN0qCNlRKPRBSCEZu1UQsqNQ6IOQQjJ2qyBkR6HQByGFZOxWQciOQqEPQgrJ2K2CkB0Fz0dqRYiEzRdCiI+t1IwQCZsvhBAfW6kZIRI2XwghPrZSM0IkbL4QQnxspWaESNh8IYT42ErNq0KkVkIyAYTI6DxBhHi4yq0IkdF5ggjxcJVbESKj8wQR4uEqtyJERucJIsTDVW5FiIzOE0wS4vkyh9CKkGIWEYKQYgSKrcMNQUgxAsXW4YYgpBiBYutwQxBSjECxdQ7qhhRjK62DEAmbL4QQH1upGSESNl8IIT62UjNCJGy+EEJ8bKVmhEjYfCGE+NhKzQiRsPlCCFllO/cFhMzlvToNIauI5r6AkLm8V6chZBXR3BcQMpf36jSErCKa+wJC5vJenYaQVURzX0DIXN6r0xCyisjzQqsVIS0ySc8RkgS+NRYhLTJJzxGSBL41FiEtMknPEZIEvjUWIS0ySc8RkgS+NRYhLTJJzxGSBL41Niak1cpzmQBCZHSeIEI8XOVWhMjoPEGEeLjKrQiR0XmCCPFwlVsRIqPzBBHi4Sq3IkRG5wlWFOL5pmekFSHFRCEEIcUIFFuHG4KQYgSKrcMNQUgxAsXW4YYgpBiBYuucnxtSDHxrHYS0yCQ9R0gS+NZYhLTIJD1HSBL41liEtMgkPUdIEvjWWIS0yCQ9R0gS+NZYhLTIJD1HSAz88DRCdmerqwAAAOFJREFUhiONFSIkxm94GiHDkcYKERLjNzyNkOFIY4UIifEbnkbIcKSxQoTE+A1PI2Q40lghQmL8hqdPhQxvpVAmgBAZnSeIEA9XuRUhMjpPECEernIrQmR0niBCPFzlVoTI6DxBhHi4yq0IkdF5gkYhnoUPvRUhxQwjBCHFCBRbhxuCkGIEiq3DDUFIMQLF1uGGIKQYgWLrnLkbUozf8HUQMhxprBAhMX7D0wgZjjRWiJAYv+FphAxHGitESIzf8DRChiONFSIkxm94GiHDkcYKT4X86+9/Xs73p8b336n8HwAAAP//BZD75QAAAAZJREFUAwBCjeyUazuYtgAAAABJRU5ErkJggg=="/>
        <xdr:cNvSpPr>
          <a:spLocks noChangeAspect="1" noChangeArrowheads="1"/>
        </xdr:cNvSpPr>
      </xdr:nvSpPr>
      <xdr:spPr bwMode="auto">
        <a:xfrm>
          <a:off x="8717280" y="2316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5</xdr:col>
      <xdr:colOff>159224</xdr:colOff>
      <xdr:row>5</xdr:row>
      <xdr:rowOff>0</xdr:rowOff>
    </xdr:from>
    <xdr:to>
      <xdr:col>8</xdr:col>
      <xdr:colOff>108615</xdr:colOff>
      <xdr:row>6</xdr:row>
      <xdr:rowOff>79613</xdr:rowOff>
    </xdr:to>
    <xdr:sp macro="" textlink="">
      <xdr:nvSpPr>
        <xdr:cNvPr id="9" name="TextBox 8">
          <a:extLst>
            <a:ext uri="{FF2B5EF4-FFF2-40B4-BE49-F238E27FC236}">
              <a16:creationId xmlns:a16="http://schemas.microsoft.com/office/drawing/2014/main" id="{D6E62696-B25A-494F-8A2E-491C025A2924}"/>
            </a:ext>
            <a:ext uri="{147F2762-F138-4A5C-976F-8EAC2B608ADB}">
              <a16:predDERef xmlns:a16="http://schemas.microsoft.com/office/drawing/2014/main" pred="{00000000-0008-0000-0100-000008000000}"/>
            </a:ext>
          </a:extLst>
        </xdr:cNvPr>
        <xdr:cNvSpPr txBox="1"/>
      </xdr:nvSpPr>
      <xdr:spPr>
        <a:xfrm>
          <a:off x="3514299" y="909851"/>
          <a:ext cx="1962435" cy="272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400" b="1" i="0">
              <a:solidFill>
                <a:schemeClr val="dk1"/>
              </a:solidFill>
              <a:latin typeface="Aptos Display" panose="020B0004020202020204" pitchFamily="34" charset="0"/>
            </a:rPr>
            <a:t>India's Last </a:t>
          </a:r>
          <a:r>
            <a:rPr lang="en-US" sz="1400" b="1" i="0">
              <a:solidFill>
                <a:schemeClr val="dk1"/>
              </a:solidFill>
              <a:latin typeface="Aptos Display" panose="020B0004020202020204"/>
            </a:rPr>
            <a:t>Minute</a:t>
          </a:r>
          <a:r>
            <a:rPr lang="en-US" sz="1400" b="1" i="0">
              <a:solidFill>
                <a:schemeClr val="dk1"/>
              </a:solidFill>
              <a:latin typeface="Aptos Display" panose="020B0004020202020204" pitchFamily="34" charset="0"/>
            </a:rPr>
            <a:t> App</a:t>
          </a:r>
        </a:p>
      </xdr:txBody>
    </xdr:sp>
    <xdr:clientData/>
  </xdr:twoCellAnchor>
  <xdr:twoCellAnchor>
    <xdr:from>
      <xdr:col>8</xdr:col>
      <xdr:colOff>504966</xdr:colOff>
      <xdr:row>2</xdr:row>
      <xdr:rowOff>75062</xdr:rowOff>
    </xdr:from>
    <xdr:to>
      <xdr:col>12</xdr:col>
      <xdr:colOff>556906</xdr:colOff>
      <xdr:row>7</xdr:row>
      <xdr:rowOff>159546</xdr:rowOff>
    </xdr:to>
    <xdr:sp macro="" textlink="">
      <xdr:nvSpPr>
        <xdr:cNvPr id="7" name="Rounded Rectangle 6"/>
        <xdr:cNvSpPr/>
      </xdr:nvSpPr>
      <xdr:spPr>
        <a:xfrm>
          <a:off x="5873085" y="404883"/>
          <a:ext cx="2736000" cy="1051200"/>
        </a:xfrm>
        <a:prstGeom prst="roundRect">
          <a:avLst>
            <a:gd name="adj" fmla="val 8012"/>
          </a:avLst>
        </a:prstGeom>
        <a:gradFill>
          <a:gsLst>
            <a:gs pos="0">
              <a:srgbClr val="FFD200">
                <a:alpha val="60000"/>
              </a:srgbClr>
            </a:gs>
            <a:gs pos="46000">
              <a:schemeClr val="accent6">
                <a:lumMod val="75000"/>
                <a:alpha val="45000"/>
              </a:schemeClr>
            </a:gs>
            <a:gs pos="100000">
              <a:schemeClr val="accent6">
                <a:lumMod val="50000"/>
                <a:alpha val="50000"/>
              </a:schemeClr>
            </a:gs>
            <a:gs pos="100000">
              <a:schemeClr val="accent1">
                <a:lumMod val="30000"/>
                <a:lumOff val="70000"/>
              </a:schemeClr>
            </a:gs>
          </a:gsLst>
          <a:lin ang="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122828</xdr:colOff>
      <xdr:row>8</xdr:row>
      <xdr:rowOff>183106</xdr:rowOff>
    </xdr:from>
    <xdr:to>
      <xdr:col>17</xdr:col>
      <xdr:colOff>174768</xdr:colOff>
      <xdr:row>14</xdr:row>
      <xdr:rowOff>74247</xdr:rowOff>
    </xdr:to>
    <xdr:sp macro="" textlink="">
      <xdr:nvSpPr>
        <xdr:cNvPr id="11" name="Rounded Rectangle 10"/>
        <xdr:cNvSpPr/>
      </xdr:nvSpPr>
      <xdr:spPr>
        <a:xfrm>
          <a:off x="8846022" y="1672987"/>
          <a:ext cx="2736000" cy="1051200"/>
        </a:xfrm>
        <a:prstGeom prst="roundRect">
          <a:avLst>
            <a:gd name="adj" fmla="val 11258"/>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8</xdr:col>
      <xdr:colOff>504966</xdr:colOff>
      <xdr:row>8</xdr:row>
      <xdr:rowOff>183106</xdr:rowOff>
    </xdr:from>
    <xdr:to>
      <xdr:col>12</xdr:col>
      <xdr:colOff>556906</xdr:colOff>
      <xdr:row>14</xdr:row>
      <xdr:rowOff>74247</xdr:rowOff>
    </xdr:to>
    <xdr:sp macro="" textlink="">
      <xdr:nvSpPr>
        <xdr:cNvPr id="12" name="Rounded Rectangle 11"/>
        <xdr:cNvSpPr/>
      </xdr:nvSpPr>
      <xdr:spPr>
        <a:xfrm>
          <a:off x="5873085" y="1672987"/>
          <a:ext cx="2736000" cy="1051200"/>
        </a:xfrm>
        <a:prstGeom prst="roundRect">
          <a:avLst>
            <a:gd name="adj" fmla="val 1233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13</xdr:col>
      <xdr:colOff>122828</xdr:colOff>
      <xdr:row>2</xdr:row>
      <xdr:rowOff>75062</xdr:rowOff>
    </xdr:from>
    <xdr:to>
      <xdr:col>17</xdr:col>
      <xdr:colOff>174768</xdr:colOff>
      <xdr:row>7</xdr:row>
      <xdr:rowOff>159546</xdr:rowOff>
    </xdr:to>
    <xdr:sp macro="" textlink="">
      <xdr:nvSpPr>
        <xdr:cNvPr id="13" name="Rounded Rectangle 12"/>
        <xdr:cNvSpPr/>
      </xdr:nvSpPr>
      <xdr:spPr>
        <a:xfrm>
          <a:off x="8846022" y="404883"/>
          <a:ext cx="2736000" cy="1051200"/>
        </a:xfrm>
        <a:prstGeom prst="roundRect">
          <a:avLst>
            <a:gd name="adj" fmla="val 9094"/>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9</xdr:col>
      <xdr:colOff>45493</xdr:colOff>
      <xdr:row>2</xdr:row>
      <xdr:rowOff>104634</xdr:rowOff>
    </xdr:from>
    <xdr:to>
      <xdr:col>10</xdr:col>
      <xdr:colOff>659642</xdr:colOff>
      <xdr:row>5</xdr:row>
      <xdr:rowOff>36394</xdr:rowOff>
    </xdr:to>
    <xdr:sp macro="" textlink="SheetsDesign!A7">
      <xdr:nvSpPr>
        <xdr:cNvPr id="10" name="TextBox 9"/>
        <xdr:cNvSpPr txBox="1"/>
      </xdr:nvSpPr>
      <xdr:spPr>
        <a:xfrm>
          <a:off x="6084627" y="434455"/>
          <a:ext cx="1285164" cy="511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390195-21CB-4F04-BE6B-90BC9489FD9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$0.25M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9</xdr:col>
      <xdr:colOff>45493</xdr:colOff>
      <xdr:row>4</xdr:row>
      <xdr:rowOff>104634</xdr:rowOff>
    </xdr:from>
    <xdr:to>
      <xdr:col>11</xdr:col>
      <xdr:colOff>0</xdr:colOff>
      <xdr:row>6</xdr:row>
      <xdr:rowOff>184246</xdr:rowOff>
    </xdr:to>
    <xdr:sp macro="" textlink="">
      <xdr:nvSpPr>
        <xdr:cNvPr id="14" name="TextBox 13"/>
        <xdr:cNvSpPr txBox="1"/>
      </xdr:nvSpPr>
      <xdr:spPr>
        <a:xfrm>
          <a:off x="6084627" y="821141"/>
          <a:ext cx="1296537" cy="466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13</xdr:col>
      <xdr:colOff>296838</xdr:colOff>
      <xdr:row>2</xdr:row>
      <xdr:rowOff>81887</xdr:rowOff>
    </xdr:from>
    <xdr:to>
      <xdr:col>15</xdr:col>
      <xdr:colOff>239972</xdr:colOff>
      <xdr:row>5</xdr:row>
      <xdr:rowOff>13647</xdr:rowOff>
    </xdr:to>
    <xdr:sp macro="" textlink="SheetsDesign!B7">
      <xdr:nvSpPr>
        <xdr:cNvPr id="17" name="TextBox 16"/>
        <xdr:cNvSpPr txBox="1"/>
      </xdr:nvSpPr>
      <xdr:spPr>
        <a:xfrm>
          <a:off x="9020032" y="411708"/>
          <a:ext cx="1285164" cy="511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515E78F-6A09-4949-9A95-2548BC5A246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$142</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322998</xdr:colOff>
      <xdr:row>4</xdr:row>
      <xdr:rowOff>104634</xdr:rowOff>
    </xdr:from>
    <xdr:to>
      <xdr:col>15</xdr:col>
      <xdr:colOff>277505</xdr:colOff>
      <xdr:row>6</xdr:row>
      <xdr:rowOff>184246</xdr:rowOff>
    </xdr:to>
    <xdr:sp macro="" textlink="">
      <xdr:nvSpPr>
        <xdr:cNvPr id="21" name="TextBox 20"/>
        <xdr:cNvSpPr txBox="1"/>
      </xdr:nvSpPr>
      <xdr:spPr>
        <a:xfrm>
          <a:off x="9046192" y="821141"/>
          <a:ext cx="1296537" cy="466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9</xdr:col>
      <xdr:colOff>95533</xdr:colOff>
      <xdr:row>9</xdr:row>
      <xdr:rowOff>139889</xdr:rowOff>
    </xdr:from>
    <xdr:to>
      <xdr:col>11</xdr:col>
      <xdr:colOff>38667</xdr:colOff>
      <xdr:row>12</xdr:row>
      <xdr:rowOff>71649</xdr:rowOff>
    </xdr:to>
    <xdr:sp macro="" textlink="SheetsDesign!C7">
      <xdr:nvSpPr>
        <xdr:cNvPr id="22" name="TextBox 21"/>
        <xdr:cNvSpPr txBox="1"/>
      </xdr:nvSpPr>
      <xdr:spPr>
        <a:xfrm>
          <a:off x="6134667" y="1823113"/>
          <a:ext cx="1285164" cy="511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F92A217-3F1C-4E7D-944B-22DCD029A7E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1753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88711</xdr:colOff>
      <xdr:row>11</xdr:row>
      <xdr:rowOff>139892</xdr:rowOff>
    </xdr:from>
    <xdr:to>
      <xdr:col>11</xdr:col>
      <xdr:colOff>43218</xdr:colOff>
      <xdr:row>13</xdr:row>
      <xdr:rowOff>30708</xdr:rowOff>
    </xdr:to>
    <xdr:sp macro="" textlink="">
      <xdr:nvSpPr>
        <xdr:cNvPr id="23" name="TextBox 22"/>
        <xdr:cNvSpPr txBox="1"/>
      </xdr:nvSpPr>
      <xdr:spPr>
        <a:xfrm>
          <a:off x="6127845" y="2209802"/>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latin typeface="Segoe UI Semibold" panose="020B0702040204020203" pitchFamily="34" charset="0"/>
              <a:cs typeface="Segoe UI Semibold" panose="020B0702040204020203" pitchFamily="34" charset="0"/>
            </a:rPr>
            <a:t>NO OF ITEMS</a:t>
          </a:r>
        </a:p>
      </xdr:txBody>
    </xdr:sp>
    <xdr:clientData/>
  </xdr:twoCellAnchor>
  <xdr:twoCellAnchor>
    <xdr:from>
      <xdr:col>13</xdr:col>
      <xdr:colOff>353704</xdr:colOff>
      <xdr:row>9</xdr:row>
      <xdr:rowOff>94396</xdr:rowOff>
    </xdr:from>
    <xdr:to>
      <xdr:col>15</xdr:col>
      <xdr:colOff>296838</xdr:colOff>
      <xdr:row>12</xdr:row>
      <xdr:rowOff>26156</xdr:rowOff>
    </xdr:to>
    <xdr:sp macro="" textlink="SheetsDesign!D7">
      <xdr:nvSpPr>
        <xdr:cNvPr id="24" name="TextBox 23"/>
        <xdr:cNvSpPr txBox="1"/>
      </xdr:nvSpPr>
      <xdr:spPr>
        <a:xfrm>
          <a:off x="9076898" y="1777620"/>
          <a:ext cx="1285164" cy="511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5739B8B-0547-497B-BCF5-64F4DC8D6C7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3.9</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13</xdr:col>
      <xdr:colOff>343469</xdr:colOff>
      <xdr:row>11</xdr:row>
      <xdr:rowOff>117146</xdr:rowOff>
    </xdr:from>
    <xdr:to>
      <xdr:col>15</xdr:col>
      <xdr:colOff>297976</xdr:colOff>
      <xdr:row>13</xdr:row>
      <xdr:rowOff>7962</xdr:rowOff>
    </xdr:to>
    <xdr:sp macro="" textlink="">
      <xdr:nvSpPr>
        <xdr:cNvPr id="26" name="TextBox 25"/>
        <xdr:cNvSpPr txBox="1"/>
      </xdr:nvSpPr>
      <xdr:spPr>
        <a:xfrm>
          <a:off x="9066663" y="2187056"/>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latin typeface="Segoe UI Semibold" panose="020B0702040204020203" pitchFamily="34" charset="0"/>
              <a:cs typeface="Segoe UI Semibold" panose="020B0702040204020203" pitchFamily="34" charset="0"/>
            </a:rPr>
            <a:t>AVG </a:t>
          </a:r>
          <a:r>
            <a:rPr lang="en-IN" sz="1200" baseline="0">
              <a:solidFill>
                <a:schemeClr val="dk1"/>
              </a:solidFill>
              <a:latin typeface="Segoe UI Semibold" panose="020B0702040204020203" pitchFamily="34" charset="0"/>
              <a:ea typeface="+mn-ea"/>
              <a:cs typeface="Segoe UI Semibold" panose="020B0702040204020203" pitchFamily="34" charset="0"/>
            </a:rPr>
            <a:t>RATING</a:t>
          </a:r>
        </a:p>
        <a:p>
          <a:pPr algn="ctr"/>
          <a:endParaRPr lang="en-IN" sz="1200" baseline="0">
            <a:latin typeface="Segoe UI Semibold" panose="020B0702040204020203" pitchFamily="34" charset="0"/>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xdr:txBody>
    </xdr:sp>
    <xdr:clientData/>
  </xdr:twoCellAnchor>
  <xdr:twoCellAnchor>
    <xdr:from>
      <xdr:col>8</xdr:col>
      <xdr:colOff>559556</xdr:colOff>
      <xdr:row>15</xdr:row>
      <xdr:rowOff>90985</xdr:rowOff>
    </xdr:from>
    <xdr:to>
      <xdr:col>17</xdr:col>
      <xdr:colOff>238834</xdr:colOff>
      <xdr:row>39</xdr:row>
      <xdr:rowOff>181971</xdr:rowOff>
    </xdr:to>
    <xdr:sp macro="" textlink="">
      <xdr:nvSpPr>
        <xdr:cNvPr id="27" name="Rounded Rectangle 26"/>
        <xdr:cNvSpPr/>
      </xdr:nvSpPr>
      <xdr:spPr>
        <a:xfrm>
          <a:off x="5927675" y="2934269"/>
          <a:ext cx="5718413" cy="4731224"/>
        </a:xfrm>
        <a:prstGeom prst="roundRect">
          <a:avLst>
            <a:gd name="adj" fmla="val 543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8</xdr:col>
      <xdr:colOff>514063</xdr:colOff>
      <xdr:row>16</xdr:row>
      <xdr:rowOff>147851</xdr:rowOff>
    </xdr:from>
    <xdr:to>
      <xdr:col>12</xdr:col>
      <xdr:colOff>591402</xdr:colOff>
      <xdr:row>26</xdr:row>
      <xdr:rowOff>170597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468574</xdr:colOff>
      <xdr:row>15</xdr:row>
      <xdr:rowOff>98948</xdr:rowOff>
    </xdr:from>
    <xdr:to>
      <xdr:col>10</xdr:col>
      <xdr:colOff>423081</xdr:colOff>
      <xdr:row>16</xdr:row>
      <xdr:rowOff>183108</xdr:rowOff>
    </xdr:to>
    <xdr:sp macro="" textlink="">
      <xdr:nvSpPr>
        <xdr:cNvPr id="29" name="TextBox 28"/>
        <xdr:cNvSpPr txBox="1"/>
      </xdr:nvSpPr>
      <xdr:spPr>
        <a:xfrm>
          <a:off x="5836693" y="2942232"/>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13</xdr:col>
      <xdr:colOff>6822</xdr:colOff>
      <xdr:row>15</xdr:row>
      <xdr:rowOff>79611</xdr:rowOff>
    </xdr:from>
    <xdr:to>
      <xdr:col>13</xdr:col>
      <xdr:colOff>6822</xdr:colOff>
      <xdr:row>39</xdr:row>
      <xdr:rowOff>133773</xdr:rowOff>
    </xdr:to>
    <xdr:cxnSp macro="">
      <xdr:nvCxnSpPr>
        <xdr:cNvPr id="30" name="Straight Connector 29"/>
        <xdr:cNvCxnSpPr/>
      </xdr:nvCxnSpPr>
      <xdr:spPr>
        <a:xfrm>
          <a:off x="8730016" y="2922895"/>
          <a:ext cx="0" cy="46944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557284</xdr:colOff>
      <xdr:row>26</xdr:row>
      <xdr:rowOff>136478</xdr:rowOff>
    </xdr:from>
    <xdr:to>
      <xdr:col>13</xdr:col>
      <xdr:colOff>34119</xdr:colOff>
      <xdr:row>26</xdr:row>
      <xdr:rowOff>147851</xdr:rowOff>
    </xdr:to>
    <xdr:cxnSp macro="">
      <xdr:nvCxnSpPr>
        <xdr:cNvPr id="34" name="Straight Connector 33"/>
        <xdr:cNvCxnSpPr/>
      </xdr:nvCxnSpPr>
      <xdr:spPr>
        <a:xfrm flipV="1">
          <a:off x="5925403" y="5106538"/>
          <a:ext cx="2831910" cy="1137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648269</xdr:colOff>
      <xdr:row>28</xdr:row>
      <xdr:rowOff>102359</xdr:rowOff>
    </xdr:from>
    <xdr:to>
      <xdr:col>12</xdr:col>
      <xdr:colOff>614149</xdr:colOff>
      <xdr:row>38</xdr:row>
      <xdr:rowOff>125105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473123</xdr:colOff>
      <xdr:row>26</xdr:row>
      <xdr:rowOff>183109</xdr:rowOff>
    </xdr:from>
    <xdr:to>
      <xdr:col>10</xdr:col>
      <xdr:colOff>427630</xdr:colOff>
      <xdr:row>28</xdr:row>
      <xdr:rowOff>73926</xdr:rowOff>
    </xdr:to>
    <xdr:sp macro="" textlink="">
      <xdr:nvSpPr>
        <xdr:cNvPr id="43" name="TextBox 42"/>
        <xdr:cNvSpPr txBox="1"/>
      </xdr:nvSpPr>
      <xdr:spPr>
        <a:xfrm>
          <a:off x="5841242" y="5153169"/>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FAT BY OUTLET</a:t>
          </a:r>
        </a:p>
      </xdr:txBody>
    </xdr:sp>
    <xdr:clientData/>
  </xdr:twoCellAnchor>
  <xdr:twoCellAnchor>
    <xdr:from>
      <xdr:col>12</xdr:col>
      <xdr:colOff>518617</xdr:colOff>
      <xdr:row>15</xdr:row>
      <xdr:rowOff>80752</xdr:rowOff>
    </xdr:from>
    <xdr:to>
      <xdr:col>14</xdr:col>
      <xdr:colOff>473124</xdr:colOff>
      <xdr:row>16</xdr:row>
      <xdr:rowOff>164912</xdr:rowOff>
    </xdr:to>
    <xdr:sp macro="" textlink="">
      <xdr:nvSpPr>
        <xdr:cNvPr id="44" name="TextBox 43"/>
        <xdr:cNvSpPr txBox="1"/>
      </xdr:nvSpPr>
      <xdr:spPr>
        <a:xfrm>
          <a:off x="8570796" y="2924036"/>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ITEM TYPE</a:t>
          </a:r>
        </a:p>
      </xdr:txBody>
    </xdr:sp>
    <xdr:clientData/>
  </xdr:twoCellAnchor>
  <xdr:twoCellAnchor>
    <xdr:from>
      <xdr:col>13</xdr:col>
      <xdr:colOff>45493</xdr:colOff>
      <xdr:row>16</xdr:row>
      <xdr:rowOff>102358</xdr:rowOff>
    </xdr:from>
    <xdr:to>
      <xdr:col>17</xdr:col>
      <xdr:colOff>204716</xdr:colOff>
      <xdr:row>39</xdr:row>
      <xdr:rowOff>68238</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398060</xdr:colOff>
      <xdr:row>2</xdr:row>
      <xdr:rowOff>79614</xdr:rowOff>
    </xdr:from>
    <xdr:to>
      <xdr:col>26</xdr:col>
      <xdr:colOff>238836</xdr:colOff>
      <xdr:row>39</xdr:row>
      <xdr:rowOff>113733</xdr:rowOff>
    </xdr:to>
    <xdr:sp macro="" textlink="">
      <xdr:nvSpPr>
        <xdr:cNvPr id="46" name="Rounded Rectangle 45"/>
        <xdr:cNvSpPr/>
      </xdr:nvSpPr>
      <xdr:spPr>
        <a:xfrm>
          <a:off x="11805314" y="409435"/>
          <a:ext cx="5879910" cy="7187820"/>
        </a:xfrm>
        <a:prstGeom prst="roundRect">
          <a:avLst>
            <a:gd name="adj" fmla="val 5433"/>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1">
            <a:solidFill>
              <a:schemeClr val="lt1"/>
            </a:solidFill>
            <a:latin typeface="+mn-lt"/>
            <a:ea typeface="+mn-ea"/>
            <a:cs typeface="+mn-cs"/>
          </a:endParaRPr>
        </a:p>
      </xdr:txBody>
    </xdr:sp>
    <xdr:clientData/>
  </xdr:twoCellAnchor>
  <xdr:twoCellAnchor>
    <xdr:from>
      <xdr:col>17</xdr:col>
      <xdr:colOff>452652</xdr:colOff>
      <xdr:row>2</xdr:row>
      <xdr:rowOff>188794</xdr:rowOff>
    </xdr:from>
    <xdr:to>
      <xdr:col>20</xdr:col>
      <xdr:colOff>432179</xdr:colOff>
      <xdr:row>5</xdr:row>
      <xdr:rowOff>75063</xdr:rowOff>
    </xdr:to>
    <xdr:sp macro="" textlink="">
      <xdr:nvSpPr>
        <xdr:cNvPr id="47" name="TextBox 46"/>
        <xdr:cNvSpPr txBox="1"/>
      </xdr:nvSpPr>
      <xdr:spPr>
        <a:xfrm>
          <a:off x="11859906" y="518615"/>
          <a:ext cx="1992572" cy="466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latin typeface="Segoe UI Semibold" panose="020B0702040204020203" pitchFamily="34" charset="0"/>
              <a:cs typeface="Segoe UI Semibold" panose="020B0702040204020203" pitchFamily="34" charset="0"/>
            </a:rPr>
            <a:t>OUTLET ESTABLISHMENT</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17</xdr:col>
      <xdr:colOff>534537</xdr:colOff>
      <xdr:row>3</xdr:row>
      <xdr:rowOff>113733</xdr:rowOff>
    </xdr:from>
    <xdr:to>
      <xdr:col>26</xdr:col>
      <xdr:colOff>136478</xdr:colOff>
      <xdr:row>14</xdr:row>
      <xdr:rowOff>20957</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402608</xdr:colOff>
      <xdr:row>14</xdr:row>
      <xdr:rowOff>125105</xdr:rowOff>
    </xdr:from>
    <xdr:to>
      <xdr:col>26</xdr:col>
      <xdr:colOff>238835</xdr:colOff>
      <xdr:row>14</xdr:row>
      <xdr:rowOff>152402</xdr:rowOff>
    </xdr:to>
    <xdr:cxnSp macro="">
      <xdr:nvCxnSpPr>
        <xdr:cNvPr id="49" name="Straight Connector 48"/>
        <xdr:cNvCxnSpPr/>
      </xdr:nvCxnSpPr>
      <xdr:spPr>
        <a:xfrm flipV="1">
          <a:off x="11809862" y="2775045"/>
          <a:ext cx="5875361" cy="2729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325272</xdr:colOff>
      <xdr:row>14</xdr:row>
      <xdr:rowOff>155813</xdr:rowOff>
    </xdr:from>
    <xdr:to>
      <xdr:col>19</xdr:col>
      <xdr:colOff>279779</xdr:colOff>
      <xdr:row>16</xdr:row>
      <xdr:rowOff>46629</xdr:rowOff>
    </xdr:to>
    <xdr:sp macro="" textlink="">
      <xdr:nvSpPr>
        <xdr:cNvPr id="56" name="TextBox 55"/>
        <xdr:cNvSpPr txBox="1"/>
      </xdr:nvSpPr>
      <xdr:spPr>
        <a:xfrm>
          <a:off x="11732526" y="2805753"/>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OUTLET SIZE</a:t>
          </a:r>
        </a:p>
        <a:p>
          <a:pPr algn="ctr"/>
          <a:endParaRPr lang="en-IN" sz="1200" baseline="0">
            <a:solidFill>
              <a:schemeClr val="dk1"/>
            </a:solidFill>
            <a:latin typeface="Segoe UI Semibold" panose="020B0702040204020203" pitchFamily="34" charset="0"/>
            <a:ea typeface="+mn-ea"/>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xdr:txBody>
    </xdr:sp>
    <xdr:clientData/>
  </xdr:twoCellAnchor>
  <xdr:twoCellAnchor>
    <xdr:from>
      <xdr:col>17</xdr:col>
      <xdr:colOff>534538</xdr:colOff>
      <xdr:row>16</xdr:row>
      <xdr:rowOff>22746</xdr:rowOff>
    </xdr:from>
    <xdr:to>
      <xdr:col>21</xdr:col>
      <xdr:colOff>604479</xdr:colOff>
      <xdr:row>27</xdr:row>
      <xdr:rowOff>191464</xdr:rowOff>
    </xdr:to>
    <xdr:graphicFrame macro="">
      <xdr:nvGraphicFramePr>
        <xdr:cNvPr id="58" name="Chart 5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375313</xdr:colOff>
      <xdr:row>27</xdr:row>
      <xdr:rowOff>90985</xdr:rowOff>
    </xdr:from>
    <xdr:to>
      <xdr:col>26</xdr:col>
      <xdr:colOff>272955</xdr:colOff>
      <xdr:row>27</xdr:row>
      <xdr:rowOff>125107</xdr:rowOff>
    </xdr:to>
    <xdr:cxnSp macro="">
      <xdr:nvCxnSpPr>
        <xdr:cNvPr id="59" name="Straight Connector 58"/>
        <xdr:cNvCxnSpPr/>
      </xdr:nvCxnSpPr>
      <xdr:spPr>
        <a:xfrm flipV="1">
          <a:off x="11782567" y="5254388"/>
          <a:ext cx="5936776" cy="3412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11373</xdr:colOff>
      <xdr:row>14</xdr:row>
      <xdr:rowOff>125105</xdr:rowOff>
    </xdr:from>
    <xdr:to>
      <xdr:col>22</xdr:col>
      <xdr:colOff>22746</xdr:colOff>
      <xdr:row>27</xdr:row>
      <xdr:rowOff>90985</xdr:rowOff>
    </xdr:to>
    <xdr:cxnSp macro="">
      <xdr:nvCxnSpPr>
        <xdr:cNvPr id="60" name="Straight Connector 59"/>
        <xdr:cNvCxnSpPr/>
      </xdr:nvCxnSpPr>
      <xdr:spPr>
        <a:xfrm>
          <a:off x="14773701" y="2775045"/>
          <a:ext cx="11373" cy="247934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591404</xdr:colOff>
      <xdr:row>14</xdr:row>
      <xdr:rowOff>137617</xdr:rowOff>
    </xdr:from>
    <xdr:to>
      <xdr:col>24</xdr:col>
      <xdr:colOff>363940</xdr:colOff>
      <xdr:row>16</xdr:row>
      <xdr:rowOff>102359</xdr:rowOff>
    </xdr:to>
    <xdr:sp macro="" textlink="">
      <xdr:nvSpPr>
        <xdr:cNvPr id="64" name="TextBox 63"/>
        <xdr:cNvSpPr txBox="1"/>
      </xdr:nvSpPr>
      <xdr:spPr>
        <a:xfrm>
          <a:off x="14682717" y="2787557"/>
          <a:ext cx="1785581" cy="351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OUTLET LOCATION</a:t>
          </a:r>
        </a:p>
        <a:p>
          <a:pPr algn="ctr"/>
          <a:endParaRPr lang="en-IN" sz="1200" baseline="0">
            <a:solidFill>
              <a:schemeClr val="dk1"/>
            </a:solidFill>
            <a:latin typeface="Segoe UI Semibold" panose="020B0702040204020203" pitchFamily="34" charset="0"/>
            <a:ea typeface="+mn-ea"/>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xdr:txBody>
    </xdr:sp>
    <xdr:clientData/>
  </xdr:twoCellAnchor>
  <xdr:twoCellAnchor>
    <xdr:from>
      <xdr:col>17</xdr:col>
      <xdr:colOff>409434</xdr:colOff>
      <xdr:row>28</xdr:row>
      <xdr:rowOff>170597</xdr:rowOff>
    </xdr:from>
    <xdr:to>
      <xdr:col>21</xdr:col>
      <xdr:colOff>329822</xdr:colOff>
      <xdr:row>38</xdr:row>
      <xdr:rowOff>153538</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295702</xdr:colOff>
      <xdr:row>27</xdr:row>
      <xdr:rowOff>114869</xdr:rowOff>
    </xdr:from>
    <xdr:to>
      <xdr:col>19</xdr:col>
      <xdr:colOff>250209</xdr:colOff>
      <xdr:row>29</xdr:row>
      <xdr:rowOff>5685</xdr:rowOff>
    </xdr:to>
    <xdr:sp macro="" textlink="">
      <xdr:nvSpPr>
        <xdr:cNvPr id="75" name="TextBox 74"/>
        <xdr:cNvSpPr txBox="1"/>
      </xdr:nvSpPr>
      <xdr:spPr>
        <a:xfrm>
          <a:off x="11702956" y="5278272"/>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OUTLET TYPE</a:t>
          </a:r>
        </a:p>
        <a:p>
          <a:pPr algn="ctr"/>
          <a:endParaRPr lang="en-IN" sz="1200" baseline="0">
            <a:solidFill>
              <a:schemeClr val="dk1"/>
            </a:solidFill>
            <a:latin typeface="Segoe UI Semibold" panose="020B0702040204020203" pitchFamily="34" charset="0"/>
            <a:ea typeface="+mn-ea"/>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xdr:txBody>
    </xdr:sp>
    <xdr:clientData/>
  </xdr:twoCellAnchor>
  <xdr:twoCellAnchor>
    <xdr:from>
      <xdr:col>21</xdr:col>
      <xdr:colOff>90985</xdr:colOff>
      <xdr:row>28</xdr:row>
      <xdr:rowOff>125106</xdr:rowOff>
    </xdr:from>
    <xdr:to>
      <xdr:col>23</xdr:col>
      <xdr:colOff>580030</xdr:colOff>
      <xdr:row>38</xdr:row>
      <xdr:rowOff>181971</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186520</xdr:colOff>
      <xdr:row>38</xdr:row>
      <xdr:rowOff>5687</xdr:rowOff>
    </xdr:from>
    <xdr:to>
      <xdr:col>20</xdr:col>
      <xdr:colOff>141027</xdr:colOff>
      <xdr:row>39</xdr:row>
      <xdr:rowOff>89847</xdr:rowOff>
    </xdr:to>
    <xdr:sp macro="" textlink="">
      <xdr:nvSpPr>
        <xdr:cNvPr id="77" name="TextBox 76"/>
        <xdr:cNvSpPr txBox="1"/>
      </xdr:nvSpPr>
      <xdr:spPr>
        <a:xfrm>
          <a:off x="12264789" y="7295866"/>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TOTAL SALES</a:t>
          </a:r>
        </a:p>
        <a:p>
          <a:pPr algn="ctr"/>
          <a:endParaRPr lang="en-IN" sz="1200" baseline="0">
            <a:solidFill>
              <a:schemeClr val="dk1"/>
            </a:solidFill>
            <a:latin typeface="Segoe UI Semibold" panose="020B0702040204020203" pitchFamily="34" charset="0"/>
            <a:ea typeface="+mn-ea"/>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xdr:txBody>
    </xdr:sp>
    <xdr:clientData/>
  </xdr:twoCellAnchor>
  <xdr:twoCellAnchor>
    <xdr:from>
      <xdr:col>21</xdr:col>
      <xdr:colOff>113733</xdr:colOff>
      <xdr:row>38</xdr:row>
      <xdr:rowOff>34122</xdr:rowOff>
    </xdr:from>
    <xdr:to>
      <xdr:col>23</xdr:col>
      <xdr:colOff>68240</xdr:colOff>
      <xdr:row>39</xdr:row>
      <xdr:rowOff>118282</xdr:rowOff>
    </xdr:to>
    <xdr:sp macro="" textlink="">
      <xdr:nvSpPr>
        <xdr:cNvPr id="78" name="TextBox 77"/>
        <xdr:cNvSpPr txBox="1"/>
      </xdr:nvSpPr>
      <xdr:spPr>
        <a:xfrm>
          <a:off x="14205046" y="7324301"/>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AVG SALES</a:t>
          </a:r>
        </a:p>
        <a:p>
          <a:pPr algn="ctr"/>
          <a:endParaRPr lang="en-IN" sz="1200" baseline="0">
            <a:solidFill>
              <a:schemeClr val="dk1"/>
            </a:solidFill>
            <a:latin typeface="Segoe UI Semibold" panose="020B0702040204020203" pitchFamily="34" charset="0"/>
            <a:ea typeface="+mn-ea"/>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xdr:txBody>
    </xdr:sp>
    <xdr:clientData/>
  </xdr:twoCellAnchor>
  <xdr:twoCellAnchor>
    <xdr:from>
      <xdr:col>23</xdr:col>
      <xdr:colOff>432180</xdr:colOff>
      <xdr:row>28</xdr:row>
      <xdr:rowOff>90985</xdr:rowOff>
    </xdr:from>
    <xdr:to>
      <xdr:col>26</xdr:col>
      <xdr:colOff>102359</xdr:colOff>
      <xdr:row>39</xdr:row>
      <xdr:rowOff>136478</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391237</xdr:colOff>
      <xdr:row>38</xdr:row>
      <xdr:rowOff>15924</xdr:rowOff>
    </xdr:from>
    <xdr:to>
      <xdr:col>25</xdr:col>
      <xdr:colOff>345744</xdr:colOff>
      <xdr:row>39</xdr:row>
      <xdr:rowOff>100084</xdr:rowOff>
    </xdr:to>
    <xdr:sp macro="" textlink="">
      <xdr:nvSpPr>
        <xdr:cNvPr id="80" name="TextBox 79"/>
        <xdr:cNvSpPr txBox="1"/>
      </xdr:nvSpPr>
      <xdr:spPr>
        <a:xfrm>
          <a:off x="15824580" y="7306103"/>
          <a:ext cx="1296537" cy="277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aseline="0">
              <a:solidFill>
                <a:schemeClr val="dk1"/>
              </a:solidFill>
              <a:latin typeface="Segoe UI Semibold" panose="020B0702040204020203" pitchFamily="34" charset="0"/>
              <a:ea typeface="+mn-ea"/>
              <a:cs typeface="Segoe UI Semibold" panose="020B0702040204020203" pitchFamily="34" charset="0"/>
            </a:rPr>
            <a:t>NO OF ITEMS</a:t>
          </a:r>
        </a:p>
        <a:p>
          <a:pPr algn="ctr"/>
          <a:endParaRPr lang="en-IN" sz="1200" baseline="0">
            <a:solidFill>
              <a:schemeClr val="dk1"/>
            </a:solidFill>
            <a:latin typeface="Segoe UI Semibold" panose="020B0702040204020203" pitchFamily="34" charset="0"/>
            <a:ea typeface="+mn-ea"/>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a:p>
          <a:pPr algn="ctr"/>
          <a:endParaRPr lang="en-IN" sz="1200" baseline="0">
            <a:latin typeface="Segoe UI Semibold" panose="020B0702040204020203" pitchFamily="34" charset="0"/>
            <a:cs typeface="Segoe UI Semibold" panose="020B0702040204020203" pitchFamily="34" charset="0"/>
          </a:endParaRPr>
        </a:p>
      </xdr:txBody>
    </xdr:sp>
    <xdr:clientData/>
  </xdr:twoCellAnchor>
  <xdr:twoCellAnchor editAs="oneCell">
    <xdr:from>
      <xdr:col>5</xdr:col>
      <xdr:colOff>186669</xdr:colOff>
      <xdr:row>8</xdr:row>
      <xdr:rowOff>170602</xdr:rowOff>
    </xdr:from>
    <xdr:to>
      <xdr:col>8</xdr:col>
      <xdr:colOff>147851</xdr:colOff>
      <xdr:row>16</xdr:row>
      <xdr:rowOff>22746</xdr:rowOff>
    </xdr:to>
    <mc:AlternateContent xmlns:mc="http://schemas.openxmlformats.org/markup-compatibility/2006" xmlns:a14="http://schemas.microsoft.com/office/drawing/2010/main">
      <mc:Choice Requires="a14">
        <xdr:graphicFrame macro="">
          <xdr:nvGraphicFramePr>
            <xdr:cNvPr id="81"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3541744" y="1660483"/>
              <a:ext cx="1974226" cy="1398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170597</xdr:colOff>
      <xdr:row>15</xdr:row>
      <xdr:rowOff>170603</xdr:rowOff>
    </xdr:from>
    <xdr:to>
      <xdr:col>8</xdr:col>
      <xdr:colOff>75138</xdr:colOff>
      <xdr:row>23</xdr:row>
      <xdr:rowOff>22747</xdr:rowOff>
    </xdr:to>
    <mc:AlternateContent xmlns:mc="http://schemas.openxmlformats.org/markup-compatibility/2006" xmlns:a14="http://schemas.microsoft.com/office/drawing/2010/main">
      <mc:Choice Requires="a14">
        <xdr:graphicFrame macro="">
          <xdr:nvGraphicFramePr>
            <xdr:cNvPr id="82"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3525672" y="3013887"/>
              <a:ext cx="1917585" cy="1398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170597</xdr:colOff>
      <xdr:row>23</xdr:row>
      <xdr:rowOff>45498</xdr:rowOff>
    </xdr:from>
    <xdr:to>
      <xdr:col>8</xdr:col>
      <xdr:colOff>75138</xdr:colOff>
      <xdr:row>39</xdr:row>
      <xdr:rowOff>102359</xdr:rowOff>
    </xdr:to>
    <mc:AlternateContent xmlns:mc="http://schemas.openxmlformats.org/markup-compatibility/2006" xmlns:a14="http://schemas.microsoft.com/office/drawing/2010/main">
      <mc:Choice Requires="a14">
        <xdr:graphicFrame macro="">
          <xdr:nvGraphicFramePr>
            <xdr:cNvPr id="83"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3525672" y="4435528"/>
              <a:ext cx="1917585" cy="3150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chi" refreshedDate="46207.789055555557" createdVersion="6" refreshedVersion="6" minRefreshableVersion="3" recordCount="852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location ref="A22:C25" firstHeaderRow="1" firstDataRow="2" firstDataCol="1"/>
  <pivotFields count="13">
    <pivotField axis="axisCol"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1"/>
    </i>
    <i>
      <x v="2"/>
    </i>
  </rowItems>
  <colFields count="1">
    <field x="0"/>
  </colFields>
  <colItems count="2">
    <i>
      <x/>
    </i>
    <i>
      <x v="1"/>
    </i>
  </colItems>
  <dataFields count="1">
    <dataField name="Sum of Sales" fld="11" baseField="0" baseItem="0" numFmtId="167"/>
  </dataFields>
  <formats count="34">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0" type="button" dataOnly="0" labelOnly="1" outline="0" axis="axisCol" fieldPosition="0"/>
    </format>
    <format dxfId="28">
      <pivotArea dataOnly="0" labelOnly="1" outline="0" axis="axisValues" fieldPosition="0"/>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0" type="button" dataOnly="0" labelOnly="1" outline="0" axis="axisCol" fieldPosition="0"/>
    </format>
    <format dxfId="22">
      <pivotArea dataOnly="0" labelOnly="1" outline="0" axis="axisValues" fieldPosition="0"/>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0" type="button" dataOnly="0" labelOnly="1" outline="0" axis="axisCol" fieldPosition="0"/>
    </format>
    <format dxfId="16">
      <pivotArea dataOnly="0" labelOnly="1" outline="0" axis="axisValues" fieldPosition="0"/>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0" type="button" dataOnly="0" labelOnly="1" outline="0" axis="axisCol" fieldPosition="0"/>
    </format>
    <format dxfId="10">
      <pivotArea dataOnly="0" labelOnly="1" outline="0" axis="axisValues" fieldPosition="0"/>
    </format>
    <format dxfId="9">
      <pivotArea dataOnly="0" labelOnly="1" outline="0" axis="axisValues"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type="origin" dataOnly="0" labelOnly="1" outline="0" fieldPosition="0"/>
    </format>
    <format dxfId="4">
      <pivotArea field="0" type="button" dataOnly="0" labelOnly="1" outline="0" axis="axisCol" fieldPosition="0"/>
    </format>
    <format dxfId="3">
      <pivotArea type="topRight" dataOnly="0" labelOnly="1" outline="0"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fieldPosition="0">
        <references count="1">
          <reference field="0" count="0"/>
        </references>
      </pivotArea>
    </format>
  </formats>
  <chartFormats count="8">
    <chartFormat chart="1" format="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2" series="1">
      <pivotArea type="data" outline="0" fieldPosition="0">
        <references count="2">
          <reference field="4294967294" count="1" selected="0">
            <x v="0"/>
          </reference>
          <reference field="0" count="1" selected="0">
            <x v="0"/>
          </reference>
        </references>
      </pivotArea>
    </chartFormat>
    <chartFormat chart="4" format="3" series="1">
      <pivotArea type="data" outline="0" fieldPosition="0">
        <references count="2">
          <reference field="4294967294" count="1" selected="0">
            <x v="0"/>
          </reference>
          <reference field="0" count="1" selected="0">
            <x v="1"/>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56:B60" firstHeaderRow="1" firstDataRow="1" firstDataCol="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4">
    <i>
      <x/>
    </i>
    <i>
      <x v="2"/>
    </i>
    <i>
      <x v="3"/>
    </i>
    <i>
      <x v="7"/>
    </i>
  </rowItems>
  <colItems count="1">
    <i/>
  </colItems>
  <dataFields count="1">
    <dataField name="Sum of Sales" fld="11" baseField="0" baseItem="0" numFmtId="167"/>
  </dataFields>
  <formats count="38">
    <format dxfId="71">
      <pivotArea type="all" dataOnly="0" outline="0"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0" type="button" dataOnly="0" labelOnly="1" outline="0"/>
    </format>
    <format dxfId="66">
      <pivotArea dataOnly="0" labelOnly="1" outline="0" axis="axisValues" fieldPosition="0"/>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0" type="button" dataOnly="0" labelOnly="1" outline="0"/>
    </format>
    <format dxfId="60">
      <pivotArea dataOnly="0" labelOnly="1" outline="0" axis="axisValues" fieldPosition="0"/>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0" type="button" dataOnly="0" labelOnly="1" outline="0"/>
    </format>
    <format dxfId="54">
      <pivotArea dataOnly="0" labelOnly="1" outline="0" axis="axisValues" fieldPosition="0"/>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0" type="button" dataOnly="0" labelOnly="1" outline="0"/>
    </format>
    <format dxfId="48">
      <pivotArea dataOnly="0" labelOnly="1" outline="0" axis="axisValues" fieldPosition="0"/>
    </format>
    <format dxfId="47">
      <pivotArea dataOnly="0" labelOnly="1" outline="0" axis="axisValues" fieldPosition="0"/>
    </format>
    <format dxfId="46">
      <pivotArea outline="0" collapsedLevelsAreSubtotals="1"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0" type="button" dataOnly="0" labelOnly="1" outline="0"/>
    </format>
    <format dxfId="41">
      <pivotArea type="topRight" dataOnly="0" labelOnly="1" outline="0" fieldPosition="0"/>
    </format>
    <format dxfId="40">
      <pivotArea field="6" type="button" dataOnly="0" labelOnly="1" outline="0"/>
    </format>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outline="0" axis="axisValues" fieldPosition="0"/>
    </format>
    <format dxfId="35">
      <pivotArea dataOnly="0" labelOnly="1" fieldPosition="0">
        <references count="1">
          <reference field="4" count="0"/>
        </references>
      </pivotArea>
    </format>
    <format dxfId="34">
      <pivotArea dataOnly="0" labelOnly="1" outline="0" axis="axisValues" fieldPosition="0"/>
    </format>
  </formats>
  <chartFormats count="13">
    <chartFormat chart="1" format="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10" format="7">
      <pivotArea type="data" outline="0" fieldPosition="0">
        <references count="2">
          <reference field="4294967294" count="1" selected="0">
            <x v="0"/>
          </reference>
          <reference field="4" count="1" selected="0">
            <x v="2"/>
          </reference>
        </references>
      </pivotArea>
    </chartFormat>
    <chartFormat chart="10" format="8">
      <pivotArea type="data" outline="0" fieldPosition="0">
        <references count="2">
          <reference field="4294967294" count="1" selected="0">
            <x v="0"/>
          </reference>
          <reference field="4" count="1" selected="0">
            <x v="3"/>
          </reference>
        </references>
      </pivotArea>
    </chartFormat>
    <chartFormat chart="10" format="9">
      <pivotArea type="data" outline="0" fieldPosition="0">
        <references count="2">
          <reference field="4294967294" count="1" selected="0">
            <x v="0"/>
          </reference>
          <reference field="4" count="1" selected="0">
            <x v="4"/>
          </reference>
        </references>
      </pivotArea>
    </chartFormat>
    <chartFormat chart="10" format="10">
      <pivotArea type="data" outline="0" fieldPosition="0">
        <references count="2">
          <reference field="4294967294" count="1" selected="0">
            <x v="0"/>
          </reference>
          <reference field="4" count="1" selected="0">
            <x v="5"/>
          </reference>
        </references>
      </pivotArea>
    </chartFormat>
    <chartFormat chart="10" format="11">
      <pivotArea type="data" outline="0" fieldPosition="0">
        <references count="2">
          <reference field="4294967294" count="1" selected="0">
            <x v="0"/>
          </reference>
          <reference field="4" count="1" selected="0">
            <x v="6"/>
          </reference>
        </references>
      </pivotArea>
    </chartFormat>
    <chartFormat chart="10" format="12">
      <pivotArea type="data" outline="0" fieldPosition="0">
        <references count="2">
          <reference field="4294967294" count="1" selected="0">
            <x v="0"/>
          </reference>
          <reference field="4" count="1" selected="0">
            <x v="7"/>
          </reference>
        </references>
      </pivotArea>
    </chartFormat>
    <chartFormat chart="10"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2">
  <location ref="A131:B133" firstHeaderRow="1" firstDataRow="1" firstDataCol="1"/>
  <pivotFields count="13">
    <pivotField showAll="0">
      <items count="3">
        <item x="0"/>
        <item x="1"/>
        <item t="default"/>
      </items>
    </pivotField>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2">
    <i>
      <x/>
    </i>
    <i>
      <x v="3"/>
    </i>
  </rowItems>
  <colItems count="1">
    <i/>
  </colItems>
  <dataFields count="1">
    <dataField name="Count of Sr No" fld="1" subtotal="count" baseField="8" baseItem="1" numFmtId="1"/>
  </dataFields>
  <formats count="46">
    <format dxfId="117">
      <pivotArea type="all" dataOnly="0" outline="0"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field="0" type="button" dataOnly="0" labelOnly="1" outline="0"/>
    </format>
    <format dxfId="112">
      <pivotArea dataOnly="0" labelOnly="1" outline="0" axis="axisValues" fieldPosition="0"/>
    </format>
    <format dxfId="111">
      <pivotArea dataOnly="0" labelOnly="1" grandRow="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0" type="button" dataOnly="0" labelOnly="1" outline="0"/>
    </format>
    <format dxfId="106">
      <pivotArea dataOnly="0" labelOnly="1" outline="0" axis="axisValues" fieldPosition="0"/>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0" type="button" dataOnly="0" labelOnly="1" outline="0"/>
    </format>
    <format dxfId="100">
      <pivotArea dataOnly="0" labelOnly="1" outline="0" axis="axisValues" fieldPosition="0"/>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0" type="button" dataOnly="0" labelOnly="1" outline="0"/>
    </format>
    <format dxfId="94">
      <pivotArea dataOnly="0" labelOnly="1" outline="0" axis="axisValues" fieldPosition="0"/>
    </format>
    <format dxfId="93">
      <pivotArea dataOnly="0" labelOnly="1" outline="0" axis="axisValues" fieldPosition="0"/>
    </format>
    <format dxfId="92">
      <pivotArea outline="0" collapsedLevelsAreSubtotals="1"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0" type="button" dataOnly="0" labelOnly="1" outline="0"/>
    </format>
    <format dxfId="87">
      <pivotArea type="topRight" dataOnly="0" labelOnly="1" outline="0" fieldPosition="0"/>
    </format>
    <format dxfId="86">
      <pivotArea field="6" type="button" dataOnly="0" labelOnly="1" outline="0"/>
    </format>
    <format dxfId="85">
      <pivotArea type="all" dataOnly="0" outline="0" fieldPosition="0"/>
    </format>
    <format dxfId="84">
      <pivotArea outline="0" collapsedLevelsAreSubtotals="1" fieldPosition="0"/>
    </format>
    <format dxfId="83">
      <pivotArea field="4" type="button" dataOnly="0" labelOnly="1" outline="0"/>
    </format>
    <format dxfId="82">
      <pivotArea dataOnly="0" labelOnly="1" outline="0" axis="axisValues" fieldPosition="0"/>
    </format>
    <format dxfId="81">
      <pivotArea dataOnly="0" labelOnly="1" outline="0" axis="axisValues" fieldPosition="0"/>
    </format>
    <format dxfId="80">
      <pivotArea collapsedLevelsAreSubtotals="1" fieldPosition="0">
        <references count="1">
          <reference field="8" count="1">
            <x v="0"/>
          </reference>
        </references>
      </pivotArea>
    </format>
    <format dxfId="79">
      <pivotArea outline="0" collapsedLevelsAreSubtotals="1" fieldPosition="0"/>
    </format>
    <format dxfId="78">
      <pivotArea outline="0" collapsedLevelsAreSubtotals="1" fieldPosition="0"/>
    </format>
    <format dxfId="77">
      <pivotArea type="all" dataOnly="0" outline="0" fieldPosition="0"/>
    </format>
    <format dxfId="76">
      <pivotArea outline="0" collapsedLevelsAreSubtotals="1" fieldPosition="0"/>
    </format>
    <format dxfId="75">
      <pivotArea field="8" type="button" dataOnly="0" labelOnly="1" outline="0" axis="axisRow" fieldPosition="0"/>
    </format>
    <format dxfId="74">
      <pivotArea dataOnly="0" labelOnly="1" outline="0" axis="axisValues" fieldPosition="0"/>
    </format>
    <format dxfId="73">
      <pivotArea dataOnly="0" labelOnly="1" fieldPosition="0">
        <references count="1">
          <reference field="8" count="0"/>
        </references>
      </pivotArea>
    </format>
    <format dxfId="72">
      <pivotArea dataOnly="0" labelOnly="1" outline="0" axis="axisValues" fieldPosition="0"/>
    </format>
  </formats>
  <chartFormats count="2">
    <chartFormat chart="21" format="2"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12:B14" firstHeaderRow="1" firstDataRow="1" firstDataCol="1"/>
  <pivotFields count="13">
    <pivotField axis="axisRow" showAll="0">
      <items count="3">
        <item x="1"/>
        <item x="0"/>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32">
    <format dxfId="149">
      <pivotArea type="all" dataOnly="0" outline="0" fieldPosition="0"/>
    </format>
    <format dxfId="148">
      <pivotArea outline="0" collapsedLevelsAreSubtotals="1" fieldPosition="0"/>
    </format>
    <format dxfId="147">
      <pivotArea type="all" dataOnly="0" outline="0" fieldPosition="0"/>
    </format>
    <format dxfId="146">
      <pivotArea outline="0" collapsedLevelsAreSubtotals="1" fieldPosition="0"/>
    </format>
    <format dxfId="145">
      <pivotArea field="0" type="button" dataOnly="0" labelOnly="1" outline="0" axis="axisRow" fieldPosition="0"/>
    </format>
    <format dxfId="144">
      <pivotArea dataOnly="0" labelOnly="1" outline="0" axis="axisValues" fieldPosition="0"/>
    </format>
    <format dxfId="143">
      <pivotArea dataOnly="0" labelOnly="1" fieldPosition="0">
        <references count="1">
          <reference field="0" count="0"/>
        </references>
      </pivotArea>
    </format>
    <format dxfId="142">
      <pivotArea dataOnly="0" labelOnly="1" grandRow="1" outline="0"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0" type="button" dataOnly="0" labelOnly="1" outline="0" axis="axisRow" fieldPosition="0"/>
    </format>
    <format dxfId="137">
      <pivotArea dataOnly="0" labelOnly="1" outline="0" axis="axisValues" fieldPosition="0"/>
    </format>
    <format dxfId="136">
      <pivotArea dataOnly="0" labelOnly="1" fieldPosition="0">
        <references count="1">
          <reference field="0" count="0"/>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0" type="button" dataOnly="0" labelOnly="1" outline="0" axis="axisRow" fieldPosition="0"/>
    </format>
    <format dxfId="130">
      <pivotArea dataOnly="0" labelOnly="1" outline="0" axis="axisValues" fieldPosition="0"/>
    </format>
    <format dxfId="129">
      <pivotArea dataOnly="0" labelOnly="1" fieldPosition="0">
        <references count="1">
          <reference field="0" count="0"/>
        </references>
      </pivotArea>
    </format>
    <format dxfId="128">
      <pivotArea dataOnly="0" labelOnly="1" grandRow="1" outline="0" fieldPosition="0"/>
    </format>
    <format dxfId="127">
      <pivotArea dataOnly="0" labelOnly="1" outline="0" axis="axisValues" fieldPosition="0"/>
    </format>
    <format dxfId="126">
      <pivotArea collapsedLevelsAreSubtotals="1" fieldPosition="0">
        <references count="1">
          <reference field="0" count="1">
            <x v="0"/>
          </reference>
        </references>
      </pivotArea>
    </format>
    <format dxfId="125">
      <pivotArea collapsedLevelsAreSubtotals="1" fieldPosition="0">
        <references count="1">
          <reference field="0" count="1">
            <x v="0"/>
          </reference>
        </references>
      </pivotArea>
    </format>
    <format dxfId="124">
      <pivotArea type="all" dataOnly="0" outline="0" fieldPosition="0"/>
    </format>
    <format dxfId="123">
      <pivotArea outline="0" collapsedLevelsAreSubtotals="1" fieldPosition="0"/>
    </format>
    <format dxfId="122">
      <pivotArea field="0" type="button" dataOnly="0" labelOnly="1" outline="0" axis="axisRow" fieldPosition="0"/>
    </format>
    <format dxfId="121">
      <pivotArea dataOnly="0" labelOnly="1" outline="0" axis="axisValues" fieldPosition="0"/>
    </format>
    <format dxfId="120">
      <pivotArea dataOnly="0" labelOnly="1" fieldPosition="0">
        <references count="1">
          <reference field="0" count="0"/>
        </references>
      </pivotArea>
    </format>
    <format dxfId="119">
      <pivotArea dataOnly="0" labelOnly="1" outline="0" axis="axisValues" fieldPosition="0"/>
    </format>
    <format dxfId="118">
      <pivotArea outline="0" collapsedLevelsAreSubtotals="1" fieldPosition="0"/>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location ref="A118:B120" firstHeaderRow="1" firstDataRow="1" firstDataCol="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Average of Sales" fld="11" subtotal="average" baseField="8" baseItem="0" numFmtId="168"/>
  </dataFields>
  <formats count="45">
    <format dxfId="194">
      <pivotArea type="all" dataOnly="0" outline="0" fieldPosition="0"/>
    </format>
    <format dxfId="193">
      <pivotArea outline="0" collapsedLevelsAreSubtotals="1" fieldPosition="0"/>
    </format>
    <format dxfId="192">
      <pivotArea type="all" dataOnly="0" outline="0" fieldPosition="0"/>
    </format>
    <format dxfId="191">
      <pivotArea outline="0" collapsedLevelsAreSubtotals="1" fieldPosition="0"/>
    </format>
    <format dxfId="190">
      <pivotArea field="0" type="button" dataOnly="0" labelOnly="1" outline="0"/>
    </format>
    <format dxfId="189">
      <pivotArea dataOnly="0" labelOnly="1" outline="0" axis="axisValues" fieldPosition="0"/>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0" type="button" dataOnly="0" labelOnly="1" outline="0"/>
    </format>
    <format dxfId="183">
      <pivotArea dataOnly="0" labelOnly="1" outline="0" axis="axisValues" fieldPosition="0"/>
    </format>
    <format dxfId="182">
      <pivotArea dataOnly="0" labelOnly="1" grandRow="1" outline="0" fieldPosition="0"/>
    </format>
    <format dxfId="181">
      <pivotArea dataOnly="0" labelOnly="1" outline="0" axis="axisValues" fieldPosition="0"/>
    </format>
    <format dxfId="180">
      <pivotArea type="all" dataOnly="0" outline="0" fieldPosition="0"/>
    </format>
    <format dxfId="179">
      <pivotArea outline="0" collapsedLevelsAreSubtotals="1" fieldPosition="0"/>
    </format>
    <format dxfId="178">
      <pivotArea field="0" type="button" dataOnly="0" labelOnly="1" outline="0"/>
    </format>
    <format dxfId="177">
      <pivotArea dataOnly="0" labelOnly="1" outline="0" axis="axisValues" fieldPosition="0"/>
    </format>
    <format dxfId="176">
      <pivotArea dataOnly="0" labelOnly="1" grandRow="1" outline="0"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0" type="button" dataOnly="0" labelOnly="1" outline="0"/>
    </format>
    <format dxfId="171">
      <pivotArea dataOnly="0" labelOnly="1" outline="0" axis="axisValues" fieldPosition="0"/>
    </format>
    <format dxfId="170">
      <pivotArea dataOnly="0" labelOnly="1" outline="0" axis="axisValues" fieldPosition="0"/>
    </format>
    <format dxfId="169">
      <pivotArea outline="0" collapsedLevelsAreSubtotals="1" fieldPosition="0"/>
    </format>
    <format dxfId="168">
      <pivotArea type="all" dataOnly="0" outline="0" fieldPosition="0"/>
    </format>
    <format dxfId="167">
      <pivotArea outline="0" collapsedLevelsAreSubtotals="1" fieldPosition="0"/>
    </format>
    <format dxfId="166">
      <pivotArea type="origin" dataOnly="0" labelOnly="1" outline="0" fieldPosition="0"/>
    </format>
    <format dxfId="165">
      <pivotArea field="0" type="button" dataOnly="0" labelOnly="1" outline="0"/>
    </format>
    <format dxfId="164">
      <pivotArea type="topRight" dataOnly="0" labelOnly="1" outline="0" fieldPosition="0"/>
    </format>
    <format dxfId="163">
      <pivotArea field="6" type="button" dataOnly="0" labelOnly="1" outline="0"/>
    </format>
    <format dxfId="162">
      <pivotArea type="all" dataOnly="0" outline="0" fieldPosition="0"/>
    </format>
    <format dxfId="161">
      <pivotArea outline="0" collapsedLevelsAreSubtotals="1" fieldPosition="0"/>
    </format>
    <format dxfId="160">
      <pivotArea field="4" type="button" dataOnly="0" labelOnly="1" outline="0"/>
    </format>
    <format dxfId="159">
      <pivotArea dataOnly="0" labelOnly="1" outline="0" axis="axisValues" fieldPosition="0"/>
    </format>
    <format dxfId="158">
      <pivotArea dataOnly="0" labelOnly="1" outline="0" axis="axisValues" fieldPosition="0"/>
    </format>
    <format dxfId="157">
      <pivotArea collapsedLevelsAreSubtotals="1" fieldPosition="0">
        <references count="1">
          <reference field="8" count="1">
            <x v="0"/>
          </reference>
        </references>
      </pivotArea>
    </format>
    <format dxfId="156">
      <pivotArea outline="0" collapsedLevelsAreSubtotals="1" fieldPosition="0"/>
    </format>
    <format dxfId="155">
      <pivotArea type="all" dataOnly="0" outline="0" fieldPosition="0"/>
    </format>
    <format dxfId="154">
      <pivotArea outline="0" collapsedLevelsAreSubtotals="1" fieldPosition="0"/>
    </format>
    <format dxfId="153">
      <pivotArea field="8" type="button" dataOnly="0" labelOnly="1" outline="0" axis="axisRow" fieldPosition="0"/>
    </format>
    <format dxfId="152">
      <pivotArea dataOnly="0" labelOnly="1" outline="0" axis="axisValues" fieldPosition="0"/>
    </format>
    <format dxfId="151">
      <pivotArea dataOnly="0" labelOnly="1" fieldPosition="0">
        <references count="1">
          <reference field="8" count="0"/>
        </references>
      </pivotArea>
    </format>
    <format dxfId="150">
      <pivotArea dataOnly="0" labelOnly="1" outline="0" axis="axisValues" fieldPosition="0"/>
    </format>
  </formats>
  <chartFormats count="10">
    <chartFormat chart="1" format="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8" count="1" selected="0">
            <x v="2"/>
          </reference>
        </references>
      </pivotArea>
    </chartFormat>
    <chartFormat chart="1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91:B93" firstHeaderRow="1" firstDataRow="1" firstDataCol="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2">
    <i>
      <x v="1"/>
    </i>
    <i>
      <x v="2"/>
    </i>
  </rowItems>
  <colItems count="1">
    <i/>
  </colItems>
  <dataFields count="1">
    <dataField name="Sum of Sales" fld="11" baseField="0" baseItem="0" numFmtId="167"/>
  </dataFields>
  <formats count="37">
    <format dxfId="231">
      <pivotArea type="all" dataOnly="0" outline="0" fieldPosition="0"/>
    </format>
    <format dxfId="230">
      <pivotArea outline="0" collapsedLevelsAreSubtotals="1" fieldPosition="0"/>
    </format>
    <format dxfId="229">
      <pivotArea type="all" dataOnly="0" outline="0" fieldPosition="0"/>
    </format>
    <format dxfId="228">
      <pivotArea outline="0" collapsedLevelsAreSubtotals="1" fieldPosition="0"/>
    </format>
    <format dxfId="227">
      <pivotArea field="0" type="button" dataOnly="0" labelOnly="1" outline="0"/>
    </format>
    <format dxfId="226">
      <pivotArea dataOnly="0" labelOnly="1" outline="0" axis="axisValues" fieldPosition="0"/>
    </format>
    <format dxfId="225">
      <pivotArea dataOnly="0" labelOnly="1" grandRow="1" outline="0"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field="0" type="button" dataOnly="0" labelOnly="1" outline="0"/>
    </format>
    <format dxfId="220">
      <pivotArea dataOnly="0" labelOnly="1" outline="0" axis="axisValues" fieldPosition="0"/>
    </format>
    <format dxfId="219">
      <pivotArea dataOnly="0" labelOnly="1" grandRow="1" outline="0" fieldPosition="0"/>
    </format>
    <format dxfId="218">
      <pivotArea dataOnly="0" labelOnly="1" outline="0" axis="axisValues" fieldPosition="0"/>
    </format>
    <format dxfId="217">
      <pivotArea type="all" dataOnly="0" outline="0" fieldPosition="0"/>
    </format>
    <format dxfId="216">
      <pivotArea outline="0" collapsedLevelsAreSubtotals="1" fieldPosition="0"/>
    </format>
    <format dxfId="215">
      <pivotArea field="0" type="button" dataOnly="0" labelOnly="1" outline="0"/>
    </format>
    <format dxfId="214">
      <pivotArea dataOnly="0" labelOnly="1" outline="0" axis="axisValues" fieldPosition="0"/>
    </format>
    <format dxfId="213">
      <pivotArea dataOnly="0" labelOnly="1" grandRow="1" outline="0"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field="0" type="button" dataOnly="0" labelOnly="1" outline="0"/>
    </format>
    <format dxfId="208">
      <pivotArea dataOnly="0" labelOnly="1" outline="0" axis="axisValues" fieldPosition="0"/>
    </format>
    <format dxfId="207">
      <pivotArea dataOnly="0" labelOnly="1" outline="0" axis="axisValues" fieldPosition="0"/>
    </format>
    <format dxfId="206">
      <pivotArea outline="0" collapsedLevelsAreSubtotals="1" fieldPosition="0"/>
    </format>
    <format dxfId="205">
      <pivotArea type="all" dataOnly="0" outline="0" fieldPosition="0"/>
    </format>
    <format dxfId="204">
      <pivotArea outline="0" collapsedLevelsAreSubtotals="1" fieldPosition="0"/>
    </format>
    <format dxfId="203">
      <pivotArea type="origin" dataOnly="0" labelOnly="1" outline="0" fieldPosition="0"/>
    </format>
    <format dxfId="202">
      <pivotArea field="0" type="button" dataOnly="0" labelOnly="1" outline="0"/>
    </format>
    <format dxfId="201">
      <pivotArea type="topRight" dataOnly="0" labelOnly="1" outline="0" fieldPosition="0"/>
    </format>
    <format dxfId="200">
      <pivotArea field="6" type="button" dataOnly="0" labelOnly="1" outline="0" axis="axisRow" fieldPosition="0"/>
    </format>
    <format dxfId="199">
      <pivotArea type="all" dataOnly="0" outline="0" fieldPosition="0"/>
    </format>
    <format dxfId="198">
      <pivotArea outline="0" collapsedLevelsAreSubtotals="1" fieldPosition="0"/>
    </format>
    <format dxfId="197">
      <pivotArea field="4" type="button" dataOnly="0" labelOnly="1" outline="0"/>
    </format>
    <format dxfId="196">
      <pivotArea dataOnly="0" labelOnly="1" outline="0" axis="axisValues" fieldPosition="0"/>
    </format>
    <format dxfId="195">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1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Rating" fld="12" subtotal="average" baseField="0" baseItem="1"/>
  </dataFields>
  <formats count="3">
    <format dxfId="234">
      <pivotArea type="all" dataOnly="0" outline="0" fieldPosition="0"/>
    </format>
    <format dxfId="233">
      <pivotArea outline="0" collapsedLevelsAreSubtotals="1" fieldPosition="0"/>
    </format>
    <format dxfId="23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33:B49" firstHeaderRow="1" firstDataRow="1" firstDataCol="1"/>
  <pivotFields count="13">
    <pivotField showAll="0">
      <items count="3">
        <item x="0"/>
        <item x="1"/>
        <item t="default"/>
      </items>
    </pivotField>
    <pivotField showAll="0" defaultSubtota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6">
    <i>
      <x v="12"/>
    </i>
    <i>
      <x v="7"/>
    </i>
    <i>
      <x v="2"/>
    </i>
    <i>
      <x v="11"/>
    </i>
    <i>
      <x v="15"/>
    </i>
    <i>
      <x v="1"/>
    </i>
    <i>
      <x v="8"/>
    </i>
    <i>
      <x v="14"/>
    </i>
    <i>
      <x v="10"/>
    </i>
    <i>
      <x v="3"/>
    </i>
    <i>
      <x/>
    </i>
    <i>
      <x v="4"/>
    </i>
    <i>
      <x v="9"/>
    </i>
    <i>
      <x v="5"/>
    </i>
    <i>
      <x v="6"/>
    </i>
    <i>
      <x v="13"/>
    </i>
  </rowItems>
  <colItems count="1">
    <i/>
  </colItems>
  <dataFields count="1">
    <dataField name="Sum of Sales" fld="11" baseField="0" baseItem="0" numFmtId="167"/>
  </dataFields>
  <formats count="37">
    <format dxfId="271">
      <pivotArea type="all" dataOnly="0" outline="0" fieldPosition="0"/>
    </format>
    <format dxfId="270">
      <pivotArea outline="0" collapsedLevelsAreSubtotals="1" fieldPosition="0"/>
    </format>
    <format dxfId="269">
      <pivotArea type="all" dataOnly="0" outline="0" fieldPosition="0"/>
    </format>
    <format dxfId="268">
      <pivotArea outline="0" collapsedLevelsAreSubtotals="1" fieldPosition="0"/>
    </format>
    <format dxfId="267">
      <pivotArea field="0" type="button" dataOnly="0" labelOnly="1" outline="0"/>
    </format>
    <format dxfId="266">
      <pivotArea dataOnly="0" labelOnly="1" outline="0" axis="axisValues" fieldPosition="0"/>
    </format>
    <format dxfId="265">
      <pivotArea dataOnly="0" labelOnly="1" grandRow="1" outline="0"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field="0" type="button" dataOnly="0" labelOnly="1" outline="0"/>
    </format>
    <format dxfId="260">
      <pivotArea dataOnly="0" labelOnly="1" outline="0" axis="axisValues" fieldPosition="0"/>
    </format>
    <format dxfId="259">
      <pivotArea dataOnly="0" labelOnly="1" grandRow="1" outline="0"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field="0" type="button" dataOnly="0" labelOnly="1" outline="0"/>
    </format>
    <format dxfId="254">
      <pivotArea dataOnly="0" labelOnly="1" outline="0" axis="axisValues" fieldPosition="0"/>
    </format>
    <format dxfId="253">
      <pivotArea dataOnly="0" labelOnly="1" grandRow="1" outline="0" fieldPosition="0"/>
    </format>
    <format dxfId="252">
      <pivotArea dataOnly="0" labelOnly="1" outline="0" axis="axisValues" fieldPosition="0"/>
    </format>
    <format dxfId="251">
      <pivotArea type="all" dataOnly="0" outline="0" fieldPosition="0"/>
    </format>
    <format dxfId="250">
      <pivotArea outline="0" collapsedLevelsAreSubtotals="1" fieldPosition="0"/>
    </format>
    <format dxfId="249">
      <pivotArea field="0" type="button" dataOnly="0" labelOnly="1" outline="0"/>
    </format>
    <format dxfId="248">
      <pivotArea dataOnly="0" labelOnly="1" outline="0" axis="axisValues" fieldPosition="0"/>
    </format>
    <format dxfId="247">
      <pivotArea dataOnly="0" labelOnly="1" outline="0" axis="axisValues" fieldPosition="0"/>
    </format>
    <format dxfId="246">
      <pivotArea outline="0" collapsedLevelsAreSubtotals="1" fieldPosition="0"/>
    </format>
    <format dxfId="245">
      <pivotArea type="all" dataOnly="0" outline="0" fieldPosition="0"/>
    </format>
    <format dxfId="244">
      <pivotArea outline="0" collapsedLevelsAreSubtotals="1" fieldPosition="0"/>
    </format>
    <format dxfId="243">
      <pivotArea type="origin" dataOnly="0" labelOnly="1" outline="0" fieldPosition="0"/>
    </format>
    <format dxfId="242">
      <pivotArea field="0" type="button" dataOnly="0" labelOnly="1" outline="0"/>
    </format>
    <format dxfId="241">
      <pivotArea type="topRight" dataOnly="0" labelOnly="1" outline="0" fieldPosition="0"/>
    </format>
    <format dxfId="240">
      <pivotArea type="all" dataOnly="0" outline="0" fieldPosition="0"/>
    </format>
    <format dxfId="239">
      <pivotArea outline="0" collapsedLevelsAreSubtotals="1" fieldPosition="0"/>
    </format>
    <format dxfId="238">
      <pivotArea field="3" type="button" dataOnly="0" labelOnly="1" outline="0" axis="axisRow" fieldPosition="0"/>
    </format>
    <format dxfId="237">
      <pivotArea dataOnly="0" labelOnly="1" outline="0" axis="axisValues" fieldPosition="0"/>
    </format>
    <format dxfId="236">
      <pivotArea dataOnly="0" labelOnly="1" fieldPosition="0">
        <references count="1">
          <reference field="3" count="0"/>
        </references>
      </pivotArea>
    </format>
    <format dxfId="235">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A74:B75" firstHeaderRow="1" firstDataRow="1" firstDataCol="1" rowPageCount="1" colPageCount="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axis="axisPage"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1">
    <i>
      <x/>
    </i>
  </rowItems>
  <colItems count="1">
    <i/>
  </colItems>
  <pageFields count="1">
    <pageField fld="4" hier="-1"/>
  </pageFields>
  <dataFields count="1">
    <dataField name="Sum of Sales" fld="11" baseField="0" baseItem="0" numFmtId="167"/>
  </dataFields>
  <formats count="44">
    <format dxfId="315">
      <pivotArea type="all" dataOnly="0" outline="0" fieldPosition="0"/>
    </format>
    <format dxfId="314">
      <pivotArea outline="0" collapsedLevelsAreSubtotals="1" fieldPosition="0"/>
    </format>
    <format dxfId="313">
      <pivotArea type="all" dataOnly="0" outline="0" fieldPosition="0"/>
    </format>
    <format dxfId="312">
      <pivotArea outline="0" collapsedLevelsAreSubtotals="1" fieldPosition="0"/>
    </format>
    <format dxfId="311">
      <pivotArea field="0" type="button" dataOnly="0" labelOnly="1" outline="0"/>
    </format>
    <format dxfId="310">
      <pivotArea dataOnly="0" labelOnly="1" outline="0" axis="axisValues" fieldPosition="0"/>
    </format>
    <format dxfId="309">
      <pivotArea dataOnly="0" labelOnly="1" grandRow="1" outline="0" fieldPosition="0"/>
    </format>
    <format dxfId="308">
      <pivotArea dataOnly="0" labelOnly="1" outline="0" axis="axisValues" fieldPosition="0"/>
    </format>
    <format dxfId="307">
      <pivotArea type="all" dataOnly="0" outline="0" fieldPosition="0"/>
    </format>
    <format dxfId="306">
      <pivotArea outline="0" collapsedLevelsAreSubtotals="1" fieldPosition="0"/>
    </format>
    <format dxfId="305">
      <pivotArea field="0" type="button" dataOnly="0" labelOnly="1" outline="0"/>
    </format>
    <format dxfId="304">
      <pivotArea dataOnly="0" labelOnly="1" outline="0" axis="axisValues" fieldPosition="0"/>
    </format>
    <format dxfId="303">
      <pivotArea dataOnly="0" labelOnly="1" grandRow="1" outline="0"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field="0" type="button" dataOnly="0" labelOnly="1" outline="0"/>
    </format>
    <format dxfId="298">
      <pivotArea dataOnly="0" labelOnly="1" outline="0" axis="axisValues" fieldPosition="0"/>
    </format>
    <format dxfId="297">
      <pivotArea dataOnly="0" labelOnly="1" grandRow="1" outline="0" fieldPosition="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field="0" type="button" dataOnly="0" labelOnly="1" outline="0"/>
    </format>
    <format dxfId="292">
      <pivotArea dataOnly="0" labelOnly="1" outline="0" axis="axisValues" fieldPosition="0"/>
    </format>
    <format dxfId="291">
      <pivotArea dataOnly="0" labelOnly="1" outline="0" axis="axisValues" fieldPosition="0"/>
    </format>
    <format dxfId="290">
      <pivotArea outline="0" collapsedLevelsAreSubtotals="1" fieldPosition="0"/>
    </format>
    <format dxfId="289">
      <pivotArea type="all" dataOnly="0" outline="0" fieldPosition="0"/>
    </format>
    <format dxfId="288">
      <pivotArea outline="0" collapsedLevelsAreSubtotals="1" fieldPosition="0"/>
    </format>
    <format dxfId="287">
      <pivotArea type="origin" dataOnly="0" labelOnly="1" outline="0" fieldPosition="0"/>
    </format>
    <format dxfId="286">
      <pivotArea field="0" type="button" dataOnly="0" labelOnly="1" outline="0"/>
    </format>
    <format dxfId="285">
      <pivotArea type="topRight" dataOnly="0" labelOnly="1" outline="0" fieldPosition="0"/>
    </format>
    <format dxfId="284">
      <pivotArea field="6" type="button" dataOnly="0" labelOnly="1" outline="0"/>
    </format>
    <format dxfId="283">
      <pivotArea type="all" dataOnly="0" outline="0" fieldPosition="0"/>
    </format>
    <format dxfId="282">
      <pivotArea outline="0" collapsedLevelsAreSubtotals="1" fieldPosition="0"/>
    </format>
    <format dxfId="281">
      <pivotArea field="4" type="button" dataOnly="0" labelOnly="1" outline="0" axis="axisPage" fieldPosition="0"/>
    </format>
    <format dxfId="280">
      <pivotArea dataOnly="0" labelOnly="1" outline="0" axis="axisValues" fieldPosition="0"/>
    </format>
    <format dxfId="279">
      <pivotArea dataOnly="0" labelOnly="1" fieldPosition="0">
        <references count="1">
          <reference field="4" count="0"/>
        </references>
      </pivotArea>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field="7" type="button" dataOnly="0" labelOnly="1" outline="0" axis="axisRow" fieldPosition="0"/>
    </format>
    <format dxfId="274">
      <pivotArea dataOnly="0" labelOnly="1" outline="0" axis="axisValues" fieldPosition="0"/>
    </format>
    <format dxfId="273">
      <pivotArea dataOnly="0" labelOnly="1" fieldPosition="0">
        <references count="1">
          <reference field="7" count="0"/>
        </references>
      </pivotArea>
    </format>
    <format dxfId="272">
      <pivotArea dataOnly="0" labelOnly="1" outline="0" axis="axisValues" fieldPosition="0"/>
    </format>
  </formats>
  <chartFormats count="20">
    <chartFormat chart="1" format="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10" format="7">
      <pivotArea type="data" outline="0" fieldPosition="0">
        <references count="2">
          <reference field="4294967294" count="1" selected="0">
            <x v="0"/>
          </reference>
          <reference field="4" count="1" selected="0">
            <x v="2"/>
          </reference>
        </references>
      </pivotArea>
    </chartFormat>
    <chartFormat chart="10" format="8">
      <pivotArea type="data" outline="0" fieldPosition="0">
        <references count="2">
          <reference field="4294967294" count="1" selected="0">
            <x v="0"/>
          </reference>
          <reference field="4" count="1" selected="0">
            <x v="3"/>
          </reference>
        </references>
      </pivotArea>
    </chartFormat>
    <chartFormat chart="10" format="9">
      <pivotArea type="data" outline="0" fieldPosition="0">
        <references count="2">
          <reference field="4294967294" count="1" selected="0">
            <x v="0"/>
          </reference>
          <reference field="4" count="1" selected="0">
            <x v="4"/>
          </reference>
        </references>
      </pivotArea>
    </chartFormat>
    <chartFormat chart="10" format="10">
      <pivotArea type="data" outline="0" fieldPosition="0">
        <references count="2">
          <reference field="4294967294" count="1" selected="0">
            <x v="0"/>
          </reference>
          <reference field="4" count="1" selected="0">
            <x v="5"/>
          </reference>
        </references>
      </pivotArea>
    </chartFormat>
    <chartFormat chart="10" format="11">
      <pivotArea type="data" outline="0" fieldPosition="0">
        <references count="2">
          <reference field="4294967294" count="1" selected="0">
            <x v="0"/>
          </reference>
          <reference field="4" count="1" selected="0">
            <x v="6"/>
          </reference>
        </references>
      </pivotArea>
    </chartFormat>
    <chartFormat chart="10" format="12">
      <pivotArea type="data" outline="0" fieldPosition="0">
        <references count="2">
          <reference field="4294967294" count="1" selected="0">
            <x v="0"/>
          </reference>
          <reference field="4" count="1" selected="0">
            <x v="7"/>
          </reference>
        </references>
      </pivotArea>
    </chartFormat>
    <chartFormat chart="10" format="13">
      <pivotArea type="data" outline="0" fieldPosition="0">
        <references count="2">
          <reference field="4294967294" count="1" selected="0">
            <x v="0"/>
          </reference>
          <reference field="4" count="1" selected="0">
            <x v="8"/>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2"/>
          </reference>
        </references>
      </pivotArea>
    </chartFormat>
    <chartFormat chart="11" format="1" series="1">
      <pivotArea type="data" outline="0" fieldPosition="0">
        <references count="1">
          <reference field="4294967294" count="1" selected="0">
            <x v="0"/>
          </reference>
        </references>
      </pivotArea>
    </chartFormat>
    <chartFormat chart="14" format="9">
      <pivotArea type="data" outline="0" fieldPosition="0">
        <references count="1">
          <reference field="4294967294" count="1" selected="0">
            <x v="0"/>
          </reference>
        </references>
      </pivotArea>
    </chartFormat>
    <chartFormat chart="11" format="2">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14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A107:B109" firstHeaderRow="1" firstDataRow="1" firstDataCol="1"/>
  <pivotFields count="13">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h="1"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2">
    <i>
      <x/>
    </i>
    <i>
      <x v="3"/>
    </i>
  </rowItems>
  <colItems count="1">
    <i/>
  </colItems>
  <dataFields count="1">
    <dataField name="Sum of Sales" fld="11" baseField="0" baseItem="0" numFmtId="167"/>
  </dataFields>
  <formats count="55">
    <format dxfId="370">
      <pivotArea type="all" dataOnly="0" outline="0" fieldPosition="0"/>
    </format>
    <format dxfId="369">
      <pivotArea outline="0" collapsedLevelsAreSubtotals="1" fieldPosition="0"/>
    </format>
    <format dxfId="368">
      <pivotArea type="all" dataOnly="0" outline="0" fieldPosition="0"/>
    </format>
    <format dxfId="367">
      <pivotArea outline="0" collapsedLevelsAreSubtotals="1" fieldPosition="0"/>
    </format>
    <format dxfId="366">
      <pivotArea field="0" type="button" dataOnly="0" labelOnly="1" outline="0"/>
    </format>
    <format dxfId="365">
      <pivotArea dataOnly="0" labelOnly="1" outline="0" axis="axisValues" fieldPosition="0"/>
    </format>
    <format dxfId="364">
      <pivotArea dataOnly="0" labelOnly="1" grandRow="1" outline="0" fieldPosition="0"/>
    </format>
    <format dxfId="363">
      <pivotArea dataOnly="0" labelOnly="1" outline="0" axis="axisValues" fieldPosition="0"/>
    </format>
    <format dxfId="362">
      <pivotArea type="all" dataOnly="0" outline="0" fieldPosition="0"/>
    </format>
    <format dxfId="361">
      <pivotArea outline="0" collapsedLevelsAreSubtotals="1" fieldPosition="0"/>
    </format>
    <format dxfId="360">
      <pivotArea field="0" type="button" dataOnly="0" labelOnly="1" outline="0"/>
    </format>
    <format dxfId="359">
      <pivotArea dataOnly="0" labelOnly="1" outline="0" axis="axisValues" fieldPosition="0"/>
    </format>
    <format dxfId="358">
      <pivotArea dataOnly="0" labelOnly="1" grandRow="1" outline="0" fieldPosition="0"/>
    </format>
    <format dxfId="357">
      <pivotArea dataOnly="0" labelOnly="1" outline="0" axis="axisValues" fieldPosition="0"/>
    </format>
    <format dxfId="356">
      <pivotArea type="all" dataOnly="0" outline="0" fieldPosition="0"/>
    </format>
    <format dxfId="355">
      <pivotArea outline="0" collapsedLevelsAreSubtotals="1" fieldPosition="0"/>
    </format>
    <format dxfId="354">
      <pivotArea field="0" type="button" dataOnly="0" labelOnly="1" outline="0"/>
    </format>
    <format dxfId="353">
      <pivotArea dataOnly="0" labelOnly="1" outline="0" axis="axisValues" fieldPosition="0"/>
    </format>
    <format dxfId="352">
      <pivotArea dataOnly="0" labelOnly="1" grandRow="1" outline="0" fieldPosition="0"/>
    </format>
    <format dxfId="351">
      <pivotArea dataOnly="0" labelOnly="1" outline="0" axis="axisValues" fieldPosition="0"/>
    </format>
    <format dxfId="350">
      <pivotArea type="all" dataOnly="0" outline="0" fieldPosition="0"/>
    </format>
    <format dxfId="349">
      <pivotArea outline="0" collapsedLevelsAreSubtotals="1" fieldPosition="0"/>
    </format>
    <format dxfId="348">
      <pivotArea field="0" type="button" dataOnly="0" labelOnly="1" outline="0"/>
    </format>
    <format dxfId="347">
      <pivotArea dataOnly="0" labelOnly="1" outline="0" axis="axisValues" fieldPosition="0"/>
    </format>
    <format dxfId="346">
      <pivotArea dataOnly="0" labelOnly="1" outline="0" axis="axisValues" fieldPosition="0"/>
    </format>
    <format dxfId="345">
      <pivotArea outline="0" collapsedLevelsAreSubtotals="1" fieldPosition="0"/>
    </format>
    <format dxfId="344">
      <pivotArea type="all" dataOnly="0" outline="0" fieldPosition="0"/>
    </format>
    <format dxfId="343">
      <pivotArea outline="0" collapsedLevelsAreSubtotals="1" fieldPosition="0"/>
    </format>
    <format dxfId="342">
      <pivotArea type="origin" dataOnly="0" labelOnly="1" outline="0" fieldPosition="0"/>
    </format>
    <format dxfId="341">
      <pivotArea field="0" type="button" dataOnly="0" labelOnly="1" outline="0"/>
    </format>
    <format dxfId="340">
      <pivotArea type="topRight" dataOnly="0" labelOnly="1" outline="0" fieldPosition="0"/>
    </format>
    <format dxfId="339">
      <pivotArea field="6" type="button" dataOnly="0" labelOnly="1" outline="0"/>
    </format>
    <format dxfId="338">
      <pivotArea type="all" dataOnly="0" outline="0" fieldPosition="0"/>
    </format>
    <format dxfId="337">
      <pivotArea outline="0" collapsedLevelsAreSubtotals="1" fieldPosition="0"/>
    </format>
    <format dxfId="336">
      <pivotArea field="4" type="button" dataOnly="0" labelOnly="1" outline="0"/>
    </format>
    <format dxfId="335">
      <pivotArea dataOnly="0" labelOnly="1" outline="0" axis="axisValues" fieldPosition="0"/>
    </format>
    <format dxfId="334">
      <pivotArea dataOnly="0" labelOnly="1" outline="0" axis="axisValues" fieldPosition="0"/>
    </format>
    <format dxfId="333">
      <pivotArea type="all" dataOnly="0" outline="0" fieldPosition="0"/>
    </format>
    <format dxfId="332">
      <pivotArea outline="0" collapsedLevelsAreSubtotals="1" fieldPosition="0"/>
    </format>
    <format dxfId="331">
      <pivotArea field="8" type="button" dataOnly="0" labelOnly="1" outline="0" axis="axisRow" fieldPosition="0"/>
    </format>
    <format dxfId="330">
      <pivotArea dataOnly="0" labelOnly="1" outline="0" axis="axisValues" fieldPosition="0"/>
    </format>
    <format dxfId="329">
      <pivotArea dataOnly="0" labelOnly="1" fieldPosition="0">
        <references count="1">
          <reference field="8" count="0"/>
        </references>
      </pivotArea>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field="8" type="button" dataOnly="0" labelOnly="1" outline="0" axis="axisRow" fieldPosition="0"/>
    </format>
    <format dxfId="324">
      <pivotArea dataOnly="0" labelOnly="1" outline="0" axis="axisValues" fieldPosition="0"/>
    </format>
    <format dxfId="323">
      <pivotArea dataOnly="0" labelOnly="1" fieldPosition="0">
        <references count="1">
          <reference field="8" count="0"/>
        </references>
      </pivotArea>
    </format>
    <format dxfId="322">
      <pivotArea dataOnly="0" labelOnly="1" outline="0" axis="axisValues" fieldPosition="0"/>
    </format>
    <format dxfId="321">
      <pivotArea type="all" dataOnly="0" outline="0" fieldPosition="0"/>
    </format>
    <format dxfId="320">
      <pivotArea outline="0" collapsedLevelsAreSubtotals="1" fieldPosition="0"/>
    </format>
    <format dxfId="319">
      <pivotArea field="8" type="button" dataOnly="0" labelOnly="1" outline="0" axis="axisRow" fieldPosition="0"/>
    </format>
    <format dxfId="318">
      <pivotArea dataOnly="0" labelOnly="1" outline="0" axis="axisValues" fieldPosition="0"/>
    </format>
    <format dxfId="317">
      <pivotArea dataOnly="0" labelOnly="1" fieldPosition="0">
        <references count="1">
          <reference field="8" count="0"/>
        </references>
      </pivotArea>
    </format>
    <format dxfId="316">
      <pivotArea dataOnly="0" labelOnly="1" outline="0" axis="axisValues" fieldPosition="0"/>
    </format>
  </formats>
  <chartFormats count="8">
    <chartFormat chart="1" format="1"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4"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2" name="PivotTable3"/>
    <pivotTable tabId="2" name="PivotTable4"/>
    <pivotTable tabId="2" name="PivotTable5"/>
    <pivotTable tabId="2" name="PivotTable6"/>
    <pivotTable tabId="2" name="PivotTable8"/>
    <pivotTable tabId="2" name="PivotTable11"/>
    <pivotTable tabId="2" name="PivotTable12"/>
    <pivotTable tabId="2" name="PivotTable13"/>
  </pivotTables>
  <data>
    <tabular pivotCacheId="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2" name="PivotTable3"/>
    <pivotTable tabId="2" name="PivotTable1"/>
    <pivotTable tabId="2" name="PivotTable11"/>
    <pivotTable tabId="2" name="PivotTable12"/>
    <pivotTable tabId="2" name="PivotTable13"/>
    <pivotTable tabId="2" name="PivotTable2"/>
    <pivotTable tabId="2" name="PivotTable4"/>
    <pivotTable tabId="2" name="PivotTable5"/>
    <pivotTable tabId="2" name="PivotTable6"/>
    <pivotTable tabId="2" name="PivotTable8"/>
  </pivotTables>
  <data>
    <tabular pivotCacheId="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3"/>
    <pivotTable tabId="2" name="PivotTable1"/>
    <pivotTable tabId="2" name="PivotTable11"/>
    <pivotTable tabId="2" name="PivotTable12"/>
    <pivotTable tabId="2" name="PivotTable13"/>
    <pivotTable tabId="2" name="PivotTable2"/>
    <pivotTable tabId="2" name="PivotTable4"/>
    <pivotTable tabId="2" name="PivotTable5"/>
    <pivotTable tabId="2" name="PivotTable6"/>
    <pivotTable tabId="2" name="PivotTable8"/>
  </pivotTables>
  <data>
    <tabular pivotCacheId="1">
      <items count="3">
        <i x="2" s="1"/>
        <i x="1"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60350"/>
  <slicer name="Item Type" cache="Slicer_Item_Type" caption="Item Type" rowHeight="260350"/>
  <slicer name="Outlet Location Type"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ANALYSIS" rowHeight="260350"/>
  <slicer name="Item Type 1" cache="Slicer_Item_Type" caption="Item Type" style="BLINKIT ANALYSIS" rowHeight="260350"/>
  <slicer name="Outlet Location Type 1" cache="Slicer_Outlet_Location_Type" caption="Outlet Location" style="BLINKIT ANALYSIS" rowHeight="260350"/>
</slicers>
</file>

<file path=xl/tables/table1.xml><?xml version="1.0" encoding="utf-8"?>
<table xmlns="http://schemas.openxmlformats.org/spreadsheetml/2006/main" id="1" name="Table1" displayName="Table1" ref="A1:M8524" totalsRowShown="0">
  <autoFilter ref="A1:M8524"/>
  <tableColumns count="13">
    <tableColumn id="7" name="Item Fat Content"/>
    <tableColumn id="1" name="Sr No"/>
    <tableColumn id="8" name="Item Identifier"/>
    <tableColumn id="9" name="Item Type"/>
    <tableColumn id="10" name="Outlet Establishment Year"/>
    <tableColumn id="11" name="Outlet Identifier"/>
    <tableColumn id="12" name="Outlet Location Type"/>
    <tableColumn id="13" name="Outlet Size"/>
    <tableColumn id="14" name="Outlet Type"/>
    <tableColumn id="15" name="Item Visibility"/>
    <tableColumn id="16" name="Item Weight"/>
    <tableColumn id="17" name="Sales"/>
    <tableColumn id="18"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8"/>
  <sheetViews>
    <sheetView zoomScale="80" zoomScaleNormal="80" workbookViewId="0">
      <selection activeCell="A25" sqref="A25"/>
    </sheetView>
  </sheetViews>
  <sheetFormatPr defaultRowHeight="15.6" x14ac:dyDescent="0.3"/>
  <cols>
    <col min="1" max="1" width="17.296875" customWidth="1"/>
    <col min="2" max="2" width="13.59765625" customWidth="1"/>
    <col min="3" max="3" width="7.5" customWidth="1"/>
    <col min="4" max="4" width="14" bestFit="1" customWidth="1"/>
  </cols>
  <sheetData>
    <row r="1" spans="1:4" ht="16.2" thickBot="1" x14ac:dyDescent="0.35"/>
    <row r="2" spans="1:4" ht="16.2" thickBot="1" x14ac:dyDescent="0.35">
      <c r="A2" s="43" t="s">
        <v>1619</v>
      </c>
      <c r="B2" s="44"/>
      <c r="C2" s="44"/>
      <c r="D2" s="45"/>
    </row>
    <row r="3" spans="1:4" ht="16.2" thickBot="1" x14ac:dyDescent="0.35">
      <c r="A3" s="13" t="s">
        <v>1610</v>
      </c>
      <c r="B3" s="14" t="s">
        <v>1612</v>
      </c>
      <c r="C3" s="14" t="s">
        <v>1614</v>
      </c>
      <c r="D3" s="15" t="s">
        <v>1615</v>
      </c>
    </row>
    <row r="4" spans="1:4" ht="16.2" thickBot="1" x14ac:dyDescent="0.35">
      <c r="A4" s="10">
        <v>248991.5860000001</v>
      </c>
      <c r="B4" s="11">
        <v>142.03741357672567</v>
      </c>
      <c r="C4" s="11">
        <v>1753</v>
      </c>
      <c r="D4" s="12">
        <v>3.9453508271534479</v>
      </c>
    </row>
    <row r="5" spans="1:4" x14ac:dyDescent="0.3">
      <c r="A5" s="3"/>
      <c r="B5" s="4"/>
      <c r="C5" s="4"/>
      <c r="D5" s="5"/>
    </row>
    <row r="6" spans="1:4" x14ac:dyDescent="0.3">
      <c r="A6" s="3" t="s">
        <v>1616</v>
      </c>
      <c r="B6" s="4" t="s">
        <v>1617</v>
      </c>
      <c r="C6" s="4" t="s">
        <v>1618</v>
      </c>
      <c r="D6" s="5"/>
    </row>
    <row r="7" spans="1:4" ht="16.2" thickBot="1" x14ac:dyDescent="0.35">
      <c r="A7" s="16">
        <f>GETPIVOTDATA("Sum of Sales",$A$3)</f>
        <v>248991.5860000001</v>
      </c>
      <c r="B7" s="6">
        <f>GETPIVOTDATA("Average Sales",$A$3)</f>
        <v>142.03741357672567</v>
      </c>
      <c r="C7" s="7">
        <f>GETPIVOTDATA("Number of items",$A$3)</f>
        <v>1753</v>
      </c>
      <c r="D7" s="9">
        <f>GETPIVOTDATA("Average Rating",$A$3)</f>
        <v>3.9453508271534479</v>
      </c>
    </row>
    <row r="9" spans="1:4" ht="16.2" thickBot="1" x14ac:dyDescent="0.35"/>
    <row r="10" spans="1:4" ht="16.2" thickBot="1" x14ac:dyDescent="0.35"/>
    <row r="11" spans="1:4" ht="16.2" thickBot="1" x14ac:dyDescent="0.35">
      <c r="A11" s="46" t="s">
        <v>1622</v>
      </c>
      <c r="B11" s="44"/>
      <c r="C11" s="44"/>
      <c r="D11" s="45"/>
    </row>
    <row r="12" spans="1:4" ht="16.2" thickBot="1" x14ac:dyDescent="0.35">
      <c r="A12" s="20" t="s">
        <v>1621</v>
      </c>
      <c r="B12" s="17" t="s">
        <v>1610</v>
      </c>
      <c r="C12" s="4"/>
      <c r="D12" s="5"/>
    </row>
    <row r="13" spans="1:4" x14ac:dyDescent="0.3">
      <c r="A13" s="21" t="s">
        <v>17</v>
      </c>
      <c r="B13" s="23">
        <v>122862.29199999984</v>
      </c>
      <c r="C13" s="4"/>
      <c r="D13" s="5"/>
    </row>
    <row r="14" spans="1:4" ht="16.2" thickBot="1" x14ac:dyDescent="0.35">
      <c r="A14" s="22" t="s">
        <v>10</v>
      </c>
      <c r="B14" s="24">
        <v>126129.29400000021</v>
      </c>
      <c r="C14" s="4"/>
      <c r="D14" s="5"/>
    </row>
    <row r="15" spans="1:4" x14ac:dyDescent="0.3">
      <c r="C15" s="4"/>
      <c r="D15" s="5"/>
    </row>
    <row r="16" spans="1:4" x14ac:dyDescent="0.3">
      <c r="A16" s="3"/>
      <c r="B16" s="4"/>
      <c r="C16" s="4"/>
      <c r="D16" s="5"/>
    </row>
    <row r="17" spans="1:9" x14ac:dyDescent="0.3">
      <c r="A17" s="3"/>
      <c r="B17" s="4"/>
      <c r="C17" s="4"/>
      <c r="D17" s="5"/>
    </row>
    <row r="18" spans="1:9" x14ac:dyDescent="0.3">
      <c r="A18" s="3"/>
      <c r="B18" s="4"/>
      <c r="C18" s="4"/>
      <c r="D18" s="5"/>
    </row>
    <row r="19" spans="1:9" ht="16.2" thickBot="1" x14ac:dyDescent="0.35">
      <c r="A19" s="18"/>
      <c r="B19" s="19"/>
      <c r="C19" s="19"/>
      <c r="D19" s="8"/>
    </row>
    <row r="20" spans="1:9" ht="16.2" thickBot="1" x14ac:dyDescent="0.35"/>
    <row r="21" spans="1:9" ht="16.2" thickBot="1" x14ac:dyDescent="0.35">
      <c r="A21" s="46" t="s">
        <v>1624</v>
      </c>
      <c r="B21" s="44"/>
      <c r="C21" s="44"/>
      <c r="D21" s="44"/>
      <c r="E21" s="1"/>
      <c r="F21" s="1"/>
      <c r="G21" s="2"/>
    </row>
    <row r="22" spans="1:9" ht="16.2" thickBot="1" x14ac:dyDescent="0.35">
      <c r="A22" s="20" t="s">
        <v>1610</v>
      </c>
      <c r="B22" s="20" t="s">
        <v>1623</v>
      </c>
      <c r="C22" s="17"/>
      <c r="D22" s="4"/>
      <c r="E22" s="4"/>
      <c r="F22" s="4"/>
      <c r="G22" s="5"/>
    </row>
    <row r="23" spans="1:9" ht="16.2" thickBot="1" x14ac:dyDescent="0.35">
      <c r="A23" s="20" t="s">
        <v>1621</v>
      </c>
      <c r="B23" s="10" t="s">
        <v>10</v>
      </c>
      <c r="C23" s="12" t="s">
        <v>17</v>
      </c>
      <c r="D23" s="4"/>
      <c r="E23" s="4"/>
      <c r="F23" s="4"/>
      <c r="G23" s="5"/>
    </row>
    <row r="24" spans="1:9" x14ac:dyDescent="0.3">
      <c r="A24" s="21" t="s">
        <v>34</v>
      </c>
      <c r="B24" s="30">
        <v>60000.70340000002</v>
      </c>
      <c r="C24" s="31">
        <v>24611.744000000002</v>
      </c>
      <c r="D24" s="4"/>
      <c r="E24" s="4"/>
      <c r="F24" s="4"/>
      <c r="G24" s="5"/>
    </row>
    <row r="25" spans="1:9" ht="16.2" thickBot="1" x14ac:dyDescent="0.35">
      <c r="A25" s="22" t="s">
        <v>21</v>
      </c>
      <c r="B25" s="32">
        <v>66128.590600000054</v>
      </c>
      <c r="C25" s="26">
        <v>98250.54799999985</v>
      </c>
      <c r="D25" s="4"/>
      <c r="E25" s="4"/>
      <c r="F25" s="4"/>
      <c r="G25" s="5"/>
    </row>
    <row r="26" spans="1:9" x14ac:dyDescent="0.3">
      <c r="D26" s="4"/>
      <c r="E26" s="4"/>
      <c r="F26" s="4"/>
      <c r="G26" s="5"/>
    </row>
    <row r="27" spans="1:9" x14ac:dyDescent="0.3">
      <c r="A27" s="3"/>
      <c r="B27" s="4"/>
      <c r="C27" s="4"/>
      <c r="D27" s="4"/>
      <c r="E27" s="4"/>
      <c r="F27" s="4"/>
      <c r="G27" s="5"/>
    </row>
    <row r="28" spans="1:9" ht="16.2" thickBot="1" x14ac:dyDescent="0.35">
      <c r="A28" s="18"/>
      <c r="B28" s="19"/>
      <c r="C28" s="19"/>
      <c r="D28" s="19"/>
      <c r="E28" s="19"/>
      <c r="F28" s="19"/>
      <c r="G28" s="8"/>
    </row>
    <row r="31" spans="1:9" ht="16.2" thickBot="1" x14ac:dyDescent="0.35"/>
    <row r="32" spans="1:9" ht="16.2" thickBot="1" x14ac:dyDescent="0.35">
      <c r="A32" s="46" t="s">
        <v>1625</v>
      </c>
      <c r="B32" s="44"/>
      <c r="C32" s="44"/>
      <c r="D32" s="44"/>
      <c r="E32" s="44"/>
      <c r="F32" s="44"/>
      <c r="G32" s="44"/>
      <c r="H32" s="44"/>
      <c r="I32" s="45"/>
    </row>
    <row r="33" spans="1:9" ht="16.2" thickBot="1" x14ac:dyDescent="0.35">
      <c r="A33" s="20" t="s">
        <v>1621</v>
      </c>
      <c r="B33" s="17" t="s">
        <v>1610</v>
      </c>
      <c r="C33" s="4"/>
      <c r="D33" s="4"/>
      <c r="E33" s="4"/>
      <c r="F33" s="4"/>
      <c r="G33" s="4"/>
      <c r="H33" s="4"/>
      <c r="I33" s="5"/>
    </row>
    <row r="34" spans="1:9" x14ac:dyDescent="0.3">
      <c r="A34" s="21" t="s">
        <v>153</v>
      </c>
      <c r="B34" s="23">
        <v>2252.404</v>
      </c>
      <c r="C34" s="4"/>
      <c r="D34" s="4"/>
      <c r="E34" s="4"/>
      <c r="F34" s="4"/>
      <c r="G34" s="4"/>
      <c r="H34" s="4"/>
      <c r="I34" s="5"/>
    </row>
    <row r="35" spans="1:9" x14ac:dyDescent="0.3">
      <c r="A35" s="33" t="s">
        <v>61</v>
      </c>
      <c r="B35" s="27">
        <v>3264.3330000000001</v>
      </c>
      <c r="C35" s="4"/>
      <c r="D35" s="4"/>
      <c r="E35" s="4"/>
      <c r="F35" s="4"/>
      <c r="G35" s="4"/>
      <c r="H35" s="4"/>
      <c r="I35" s="5"/>
    </row>
    <row r="36" spans="1:9" x14ac:dyDescent="0.3">
      <c r="A36" s="33" t="s">
        <v>74</v>
      </c>
      <c r="B36" s="27">
        <v>4073.3037999999997</v>
      </c>
      <c r="C36" s="4"/>
      <c r="D36" s="4"/>
      <c r="E36" s="4"/>
      <c r="F36" s="4"/>
      <c r="G36" s="4"/>
      <c r="H36" s="4"/>
      <c r="I36" s="5"/>
    </row>
    <row r="37" spans="1:9" x14ac:dyDescent="0.3">
      <c r="A37" s="33" t="s">
        <v>64</v>
      </c>
      <c r="B37" s="27">
        <v>4459.4574000000002</v>
      </c>
      <c r="C37" s="4"/>
      <c r="D37" s="4"/>
      <c r="E37" s="4"/>
      <c r="F37" s="4"/>
      <c r="G37" s="4"/>
      <c r="H37" s="4"/>
      <c r="I37" s="5"/>
    </row>
    <row r="38" spans="1:9" x14ac:dyDescent="0.3">
      <c r="A38" s="33" t="s">
        <v>159</v>
      </c>
      <c r="B38" s="27">
        <v>5865.8611999999994</v>
      </c>
      <c r="C38" s="4"/>
      <c r="D38" s="4"/>
      <c r="E38" s="4"/>
      <c r="F38" s="4"/>
      <c r="G38" s="4"/>
      <c r="H38" s="4"/>
      <c r="I38" s="5"/>
    </row>
    <row r="39" spans="1:9" x14ac:dyDescent="0.3">
      <c r="A39" s="33" t="s">
        <v>57</v>
      </c>
      <c r="B39" s="27">
        <v>7357.453199999999</v>
      </c>
      <c r="C39" s="4"/>
      <c r="D39" s="4"/>
      <c r="E39" s="4"/>
      <c r="F39" s="4"/>
      <c r="G39" s="4"/>
      <c r="H39" s="4"/>
      <c r="I39" s="5"/>
    </row>
    <row r="40" spans="1:9" x14ac:dyDescent="0.3">
      <c r="A40" s="33" t="s">
        <v>19</v>
      </c>
      <c r="B40" s="27">
        <v>8241.7698</v>
      </c>
      <c r="C40" s="4"/>
      <c r="D40" s="4"/>
      <c r="E40" s="4"/>
      <c r="F40" s="4"/>
      <c r="G40" s="4"/>
      <c r="H40" s="4"/>
      <c r="I40" s="5"/>
    </row>
    <row r="41" spans="1:9" x14ac:dyDescent="0.3">
      <c r="A41" s="33" t="s">
        <v>32</v>
      </c>
      <c r="B41" s="27">
        <v>14216.069200000002</v>
      </c>
      <c r="C41" s="4"/>
      <c r="D41" s="4"/>
      <c r="E41" s="4"/>
      <c r="F41" s="4"/>
      <c r="G41" s="4"/>
      <c r="H41" s="4"/>
      <c r="I41" s="5"/>
    </row>
    <row r="42" spans="1:9" x14ac:dyDescent="0.3">
      <c r="A42" s="33" t="s">
        <v>54</v>
      </c>
      <c r="B42" s="27">
        <v>15189.982400000003</v>
      </c>
      <c r="C42" s="4"/>
      <c r="D42" s="4"/>
      <c r="E42" s="4"/>
      <c r="F42" s="4"/>
      <c r="G42" s="4"/>
      <c r="H42" s="4"/>
      <c r="I42" s="5"/>
    </row>
    <row r="43" spans="1:9" x14ac:dyDescent="0.3">
      <c r="A43" s="33" t="s">
        <v>28</v>
      </c>
      <c r="B43" s="27">
        <v>19360.379599999993</v>
      </c>
      <c r="C43" s="4"/>
      <c r="D43" s="4"/>
      <c r="E43" s="4"/>
      <c r="F43" s="4"/>
      <c r="G43" s="4"/>
      <c r="H43" s="4"/>
      <c r="I43" s="5"/>
    </row>
    <row r="44" spans="1:9" x14ac:dyDescent="0.3">
      <c r="A44" s="33" t="s">
        <v>95</v>
      </c>
      <c r="B44" s="27">
        <v>20278.18399999999</v>
      </c>
      <c r="C44" s="4"/>
      <c r="D44" s="4"/>
      <c r="E44" s="4"/>
      <c r="F44" s="4"/>
      <c r="G44" s="4"/>
      <c r="H44" s="4"/>
      <c r="I44" s="5"/>
    </row>
    <row r="45" spans="1:9" x14ac:dyDescent="0.3">
      <c r="A45" s="33" t="s">
        <v>67</v>
      </c>
      <c r="B45" s="27">
        <v>21092.504599999989</v>
      </c>
      <c r="C45" s="4"/>
      <c r="D45" s="4"/>
      <c r="E45" s="4"/>
      <c r="F45" s="4"/>
      <c r="G45" s="4"/>
      <c r="H45" s="4"/>
      <c r="I45" s="5"/>
    </row>
    <row r="46" spans="1:9" x14ac:dyDescent="0.3">
      <c r="A46" s="33" t="s">
        <v>42</v>
      </c>
      <c r="B46" s="27">
        <v>21185.027000000006</v>
      </c>
      <c r="C46" s="4"/>
      <c r="D46" s="4"/>
      <c r="E46" s="4"/>
      <c r="F46" s="4"/>
      <c r="G46" s="4"/>
      <c r="H46" s="4"/>
      <c r="I46" s="5"/>
    </row>
    <row r="47" spans="1:9" x14ac:dyDescent="0.3">
      <c r="A47" s="33" t="s">
        <v>24</v>
      </c>
      <c r="B47" s="27">
        <v>24986.254999999994</v>
      </c>
      <c r="C47" s="4"/>
      <c r="D47" s="4"/>
      <c r="E47" s="4"/>
      <c r="F47" s="4"/>
      <c r="G47" s="4"/>
      <c r="H47" s="4"/>
      <c r="I47" s="5"/>
    </row>
    <row r="48" spans="1:9" x14ac:dyDescent="0.3">
      <c r="A48" s="33" t="s">
        <v>12</v>
      </c>
      <c r="B48" s="27">
        <v>34833.221400000009</v>
      </c>
      <c r="C48" s="4"/>
      <c r="D48" s="4"/>
      <c r="E48" s="4"/>
      <c r="F48" s="4"/>
      <c r="G48" s="4"/>
      <c r="H48" s="4"/>
      <c r="I48" s="5"/>
    </row>
    <row r="49" spans="1:9" ht="16.2" thickBot="1" x14ac:dyDescent="0.35">
      <c r="A49" s="22" t="s">
        <v>48</v>
      </c>
      <c r="B49" s="24">
        <v>42335.380400000038</v>
      </c>
      <c r="C49" s="4"/>
      <c r="D49" s="4"/>
      <c r="E49" s="4"/>
      <c r="F49" s="4"/>
      <c r="G49" s="4"/>
      <c r="H49" s="4"/>
      <c r="I49" s="5"/>
    </row>
    <row r="50" spans="1:9" x14ac:dyDescent="0.3">
      <c r="A50" s="3"/>
      <c r="B50" s="4"/>
      <c r="C50" s="4"/>
      <c r="D50" s="4"/>
      <c r="E50" s="4"/>
      <c r="F50" s="4"/>
      <c r="G50" s="4"/>
      <c r="H50" s="4"/>
      <c r="I50" s="5"/>
    </row>
    <row r="51" spans="1:9" ht="16.2" thickBot="1" x14ac:dyDescent="0.35">
      <c r="A51" s="18"/>
      <c r="B51" s="19"/>
      <c r="C51" s="19"/>
      <c r="D51" s="19"/>
      <c r="E51" s="19"/>
      <c r="F51" s="19"/>
      <c r="G51" s="19"/>
      <c r="H51" s="19"/>
      <c r="I51" s="8"/>
    </row>
    <row r="54" spans="1:9" ht="16.2" thickBot="1" x14ac:dyDescent="0.35"/>
    <row r="55" spans="1:9" ht="16.2" thickBot="1" x14ac:dyDescent="0.35">
      <c r="A55" s="46" t="s">
        <v>1626</v>
      </c>
      <c r="B55" s="44"/>
      <c r="C55" s="44"/>
      <c r="D55" s="44"/>
      <c r="E55" s="44"/>
      <c r="F55" s="44"/>
      <c r="G55" s="44"/>
      <c r="H55" s="44"/>
      <c r="I55" s="45"/>
    </row>
    <row r="56" spans="1:9" ht="16.2" thickBot="1" x14ac:dyDescent="0.35">
      <c r="A56" s="20" t="s">
        <v>1621</v>
      </c>
      <c r="B56" s="17" t="s">
        <v>1610</v>
      </c>
      <c r="C56" s="4"/>
      <c r="D56" s="4"/>
      <c r="E56" s="4"/>
      <c r="F56" s="4"/>
      <c r="G56" s="4"/>
      <c r="H56" s="4"/>
      <c r="I56" s="5"/>
    </row>
    <row r="57" spans="1:9" x14ac:dyDescent="0.3">
      <c r="A57" s="21">
        <v>2011</v>
      </c>
      <c r="B57" s="23">
        <v>32570.122999999989</v>
      </c>
      <c r="C57" s="4"/>
      <c r="D57" s="4"/>
      <c r="E57" s="4"/>
      <c r="F57" s="4"/>
      <c r="G57" s="4"/>
      <c r="H57" s="4"/>
      <c r="I57" s="5"/>
    </row>
    <row r="58" spans="1:9" x14ac:dyDescent="0.3">
      <c r="A58" s="33">
        <v>2014</v>
      </c>
      <c r="B58" s="27">
        <v>131809.01559999996</v>
      </c>
      <c r="C58" s="4"/>
      <c r="D58" s="4"/>
      <c r="E58" s="4"/>
      <c r="F58" s="4"/>
      <c r="G58" s="4"/>
      <c r="H58" s="4"/>
      <c r="I58" s="5"/>
    </row>
    <row r="59" spans="1:9" x14ac:dyDescent="0.3">
      <c r="A59" s="33">
        <v>2015</v>
      </c>
      <c r="B59" s="27">
        <v>39556.22000000003</v>
      </c>
      <c r="C59" s="4"/>
      <c r="D59" s="4"/>
      <c r="E59" s="4"/>
      <c r="F59" s="4"/>
      <c r="G59" s="4"/>
      <c r="H59" s="4"/>
      <c r="I59" s="5"/>
    </row>
    <row r="60" spans="1:9" ht="16.2" thickBot="1" x14ac:dyDescent="0.35">
      <c r="A60" s="22">
        <v>2020</v>
      </c>
      <c r="B60" s="24">
        <v>45056.227400000025</v>
      </c>
      <c r="C60" s="4"/>
      <c r="D60" s="4"/>
      <c r="E60" s="4"/>
      <c r="F60" s="4"/>
      <c r="G60" s="4"/>
      <c r="H60" s="4"/>
      <c r="I60" s="5"/>
    </row>
    <row r="61" spans="1:9" x14ac:dyDescent="0.3">
      <c r="C61" s="4"/>
      <c r="D61" s="4"/>
      <c r="E61" s="4"/>
      <c r="F61" s="4"/>
      <c r="G61" s="4"/>
      <c r="H61" s="4"/>
      <c r="I61" s="5"/>
    </row>
    <row r="62" spans="1:9" x14ac:dyDescent="0.3">
      <c r="C62" s="4"/>
      <c r="D62" s="4"/>
      <c r="E62" s="4"/>
      <c r="F62" s="4"/>
      <c r="G62" s="4"/>
      <c r="H62" s="4"/>
      <c r="I62" s="5"/>
    </row>
    <row r="63" spans="1:9" x14ac:dyDescent="0.3">
      <c r="C63" s="4"/>
      <c r="D63" s="4"/>
      <c r="E63" s="4"/>
      <c r="F63" s="4"/>
      <c r="G63" s="4"/>
      <c r="H63" s="4"/>
      <c r="I63" s="5"/>
    </row>
    <row r="64" spans="1:9" x14ac:dyDescent="0.3">
      <c r="C64" s="4"/>
      <c r="D64" s="4"/>
      <c r="E64" s="4"/>
      <c r="F64" s="4"/>
      <c r="G64" s="4"/>
      <c r="H64" s="4"/>
      <c r="I64" s="5"/>
    </row>
    <row r="65" spans="1:9" ht="16.2" thickBot="1" x14ac:dyDescent="0.35">
      <c r="C65" s="4"/>
      <c r="D65" s="4"/>
      <c r="E65" s="4"/>
      <c r="F65" s="4"/>
      <c r="G65" s="4"/>
      <c r="H65" s="4"/>
      <c r="I65" s="5"/>
    </row>
    <row r="66" spans="1:9" x14ac:dyDescent="0.3">
      <c r="A66" s="3"/>
      <c r="B66" s="4"/>
      <c r="C66" s="4"/>
      <c r="D66" s="4"/>
      <c r="E66" s="4"/>
      <c r="F66" s="4"/>
      <c r="G66" s="4"/>
      <c r="H66" s="4"/>
      <c r="I66" s="5"/>
    </row>
    <row r="67" spans="1:9" x14ac:dyDescent="0.3">
      <c r="A67" s="3"/>
      <c r="B67" s="4"/>
      <c r="C67" s="4"/>
      <c r="D67" s="4"/>
      <c r="E67" s="4"/>
      <c r="F67" s="4"/>
      <c r="G67" s="4"/>
      <c r="H67" s="4"/>
      <c r="I67" s="5"/>
    </row>
    <row r="68" spans="1:9" x14ac:dyDescent="0.3">
      <c r="A68" s="3"/>
      <c r="B68" s="4"/>
      <c r="C68" s="4"/>
      <c r="D68" s="4"/>
      <c r="E68" s="4"/>
      <c r="F68" s="4"/>
      <c r="G68" s="4"/>
      <c r="H68" s="4"/>
      <c r="I68" s="5"/>
    </row>
    <row r="69" spans="1:9" ht="16.2" thickBot="1" x14ac:dyDescent="0.35">
      <c r="A69" s="18"/>
      <c r="B69" s="19"/>
      <c r="C69" s="19"/>
      <c r="D69" s="19"/>
      <c r="E69" s="19"/>
      <c r="F69" s="19"/>
      <c r="G69" s="19"/>
      <c r="H69" s="19"/>
      <c r="I69" s="8"/>
    </row>
    <row r="70" spans="1:9" ht="16.2" thickBot="1" x14ac:dyDescent="0.35"/>
    <row r="71" spans="1:9" ht="16.2" thickBot="1" x14ac:dyDescent="0.35">
      <c r="A71" s="46" t="s">
        <v>1627</v>
      </c>
      <c r="B71" s="44"/>
      <c r="C71" s="44"/>
      <c r="D71" s="44"/>
      <c r="E71" s="44"/>
      <c r="F71" s="44"/>
      <c r="G71" s="45"/>
    </row>
    <row r="72" spans="1:9" ht="16.2" thickBot="1" x14ac:dyDescent="0.35">
      <c r="A72" s="20" t="s">
        <v>1609</v>
      </c>
      <c r="B72" s="17" t="s">
        <v>1620</v>
      </c>
      <c r="C72" s="4"/>
      <c r="D72" s="4"/>
      <c r="E72" s="4"/>
      <c r="F72" s="4"/>
      <c r="G72" s="5"/>
    </row>
    <row r="73" spans="1:9" ht="16.2" thickBot="1" x14ac:dyDescent="0.35">
      <c r="A73" s="3"/>
      <c r="B73" s="4"/>
      <c r="C73" s="4"/>
      <c r="D73" s="4"/>
      <c r="E73" s="4"/>
      <c r="F73" s="4"/>
      <c r="G73" s="5"/>
    </row>
    <row r="74" spans="1:9" ht="16.2" thickBot="1" x14ac:dyDescent="0.35">
      <c r="A74" s="20" t="s">
        <v>1621</v>
      </c>
      <c r="B74" s="17" t="s">
        <v>1610</v>
      </c>
      <c r="C74" s="4"/>
      <c r="D74" s="4"/>
      <c r="E74" s="4"/>
      <c r="F74" s="4"/>
      <c r="G74" s="5"/>
    </row>
    <row r="75" spans="1:9" ht="16.2" thickBot="1" x14ac:dyDescent="0.35">
      <c r="A75" s="39" t="s">
        <v>30</v>
      </c>
      <c r="B75" s="25">
        <v>248991.5860000001</v>
      </c>
      <c r="C75" s="4"/>
      <c r="D75" s="4"/>
      <c r="E75" s="4"/>
      <c r="F75" s="4"/>
      <c r="G75" s="5"/>
    </row>
    <row r="76" spans="1:9" x14ac:dyDescent="0.3">
      <c r="C76" s="4"/>
      <c r="D76" s="4"/>
      <c r="E76" s="4"/>
      <c r="F76" s="4"/>
      <c r="G76" s="5"/>
    </row>
    <row r="77" spans="1:9" ht="16.2" thickBot="1" x14ac:dyDescent="0.35">
      <c r="C77" s="4"/>
      <c r="D77" s="4"/>
      <c r="E77" s="4"/>
      <c r="F77" s="4"/>
      <c r="G77" s="5"/>
    </row>
    <row r="78" spans="1:9" x14ac:dyDescent="0.3">
      <c r="A78" s="3"/>
      <c r="B78" s="4"/>
      <c r="C78" s="4"/>
      <c r="D78" s="4"/>
      <c r="E78" s="4"/>
      <c r="F78" s="4"/>
      <c r="G78" s="5"/>
    </row>
    <row r="79" spans="1:9" x14ac:dyDescent="0.3">
      <c r="A79" s="3"/>
      <c r="B79" s="4"/>
      <c r="C79" s="4"/>
      <c r="D79" s="4"/>
      <c r="E79" s="4"/>
      <c r="F79" s="4"/>
      <c r="G79" s="5"/>
    </row>
    <row r="80" spans="1:9" x14ac:dyDescent="0.3">
      <c r="A80" s="3"/>
      <c r="B80" s="4"/>
      <c r="C80" s="4"/>
      <c r="D80" s="4"/>
      <c r="E80" s="4"/>
      <c r="F80" s="4"/>
      <c r="G80" s="5"/>
    </row>
    <row r="81" spans="1:7" x14ac:dyDescent="0.3">
      <c r="A81" s="3"/>
      <c r="B81" s="4"/>
      <c r="C81" s="4"/>
      <c r="D81" s="4"/>
      <c r="E81" s="4"/>
      <c r="F81" s="4"/>
      <c r="G81" s="5"/>
    </row>
    <row r="82" spans="1:7" x14ac:dyDescent="0.3">
      <c r="A82" s="3"/>
      <c r="B82" s="4"/>
      <c r="C82" s="4"/>
      <c r="D82" s="4"/>
      <c r="E82" s="4"/>
      <c r="F82" s="4"/>
      <c r="G82" s="5"/>
    </row>
    <row r="83" spans="1:7" ht="16.2" thickBot="1" x14ac:dyDescent="0.35">
      <c r="A83" s="18"/>
      <c r="B83" s="19"/>
      <c r="C83" s="19"/>
      <c r="D83" s="19"/>
      <c r="E83" s="19"/>
      <c r="F83" s="19"/>
      <c r="G83" s="8"/>
    </row>
    <row r="90" spans="1:7" ht="16.2" thickBot="1" x14ac:dyDescent="0.35"/>
    <row r="91" spans="1:7" ht="16.2" thickBot="1" x14ac:dyDescent="0.35">
      <c r="A91" s="20" t="s">
        <v>1621</v>
      </c>
      <c r="B91" s="17" t="s">
        <v>1610</v>
      </c>
    </row>
    <row r="92" spans="1:7" x14ac:dyDescent="0.3">
      <c r="A92" s="28" t="s">
        <v>34</v>
      </c>
      <c r="B92" s="23">
        <v>84612.447399999932</v>
      </c>
      <c r="D92" s="34" t="s">
        <v>14</v>
      </c>
      <c r="E92" s="2">
        <f>GETPIVOTDATA("Sales",$A$91,"Outlet Location Type",A92)</f>
        <v>84612.447399999932</v>
      </c>
    </row>
    <row r="93" spans="1:7" ht="16.2" thickBot="1" x14ac:dyDescent="0.35">
      <c r="A93" s="29" t="s">
        <v>21</v>
      </c>
      <c r="B93" s="24">
        <v>164379.13859999986</v>
      </c>
      <c r="D93" s="28" t="s">
        <v>34</v>
      </c>
      <c r="E93" s="5">
        <f t="shared" ref="E93:E94" si="0">GETPIVOTDATA("Sales",$A$91,"Outlet Location Type",A93)</f>
        <v>164379.13859999986</v>
      </c>
    </row>
    <row r="94" spans="1:7" ht="16.2" thickBot="1" x14ac:dyDescent="0.35">
      <c r="D94" s="29" t="s">
        <v>21</v>
      </c>
      <c r="E94" s="8" t="e">
        <f t="shared" si="0"/>
        <v>#REF!</v>
      </c>
    </row>
    <row r="105" spans="1:5" ht="16.2" thickBot="1" x14ac:dyDescent="0.35"/>
    <row r="106" spans="1:5" ht="16.2" thickBot="1" x14ac:dyDescent="0.35">
      <c r="A106" s="46" t="s">
        <v>1629</v>
      </c>
      <c r="B106" s="44"/>
      <c r="C106" s="44"/>
      <c r="D106" s="44"/>
      <c r="E106" s="45"/>
    </row>
    <row r="107" spans="1:5" ht="16.2" thickBot="1" x14ac:dyDescent="0.35">
      <c r="A107" s="20" t="s">
        <v>1621</v>
      </c>
      <c r="B107" s="17" t="s">
        <v>1610</v>
      </c>
      <c r="C107" s="4"/>
      <c r="D107" s="4"/>
      <c r="E107" s="5"/>
    </row>
    <row r="108" spans="1:5" x14ac:dyDescent="0.3">
      <c r="A108" s="21" t="s">
        <v>40</v>
      </c>
      <c r="B108" s="23">
        <v>32570.122999999989</v>
      </c>
      <c r="C108" s="4"/>
      <c r="D108" s="4"/>
      <c r="E108" s="5"/>
    </row>
    <row r="109" spans="1:5" ht="16.2" thickBot="1" x14ac:dyDescent="0.35">
      <c r="A109" s="22" t="s">
        <v>16</v>
      </c>
      <c r="B109" s="24">
        <v>216421.46300000028</v>
      </c>
      <c r="C109" s="4"/>
      <c r="D109" s="4"/>
      <c r="E109" s="5"/>
    </row>
    <row r="110" spans="1:5" x14ac:dyDescent="0.3">
      <c r="C110" s="4"/>
      <c r="D110" s="4"/>
      <c r="E110" s="5"/>
    </row>
    <row r="111" spans="1:5" ht="16.2" thickBot="1" x14ac:dyDescent="0.35">
      <c r="C111" s="4"/>
      <c r="D111" s="4"/>
      <c r="E111" s="5"/>
    </row>
    <row r="112" spans="1:5" x14ac:dyDescent="0.3">
      <c r="A112" s="3"/>
      <c r="B112" s="4"/>
      <c r="C112" s="4"/>
      <c r="D112" s="4"/>
      <c r="E112" s="5"/>
    </row>
    <row r="113" spans="1:5" x14ac:dyDescent="0.3">
      <c r="A113" s="3"/>
      <c r="B113" s="4"/>
      <c r="C113" s="4"/>
      <c r="D113" s="4"/>
      <c r="E113" s="5"/>
    </row>
    <row r="114" spans="1:5" x14ac:dyDescent="0.3">
      <c r="A114" s="3"/>
      <c r="B114" s="4"/>
      <c r="C114" s="4"/>
      <c r="D114" s="4"/>
      <c r="E114" s="5"/>
    </row>
    <row r="115" spans="1:5" x14ac:dyDescent="0.3">
      <c r="A115" s="3"/>
      <c r="B115" s="4"/>
      <c r="C115" s="4"/>
      <c r="D115" s="4"/>
      <c r="E115" s="5"/>
    </row>
    <row r="116" spans="1:5" x14ac:dyDescent="0.3">
      <c r="A116" s="3"/>
      <c r="B116" s="4"/>
      <c r="C116" s="4"/>
      <c r="D116" s="4"/>
      <c r="E116" s="5"/>
    </row>
    <row r="117" spans="1:5" ht="16.2" thickBot="1" x14ac:dyDescent="0.35">
      <c r="A117" s="40"/>
      <c r="B117" s="41"/>
      <c r="C117" s="41"/>
      <c r="D117" s="41"/>
      <c r="E117" s="42"/>
    </row>
    <row r="118" spans="1:5" ht="16.2" thickBot="1" x14ac:dyDescent="0.35">
      <c r="A118" s="20" t="s">
        <v>1621</v>
      </c>
      <c r="B118" s="17" t="s">
        <v>1611</v>
      </c>
      <c r="C118" s="4"/>
      <c r="D118" s="4"/>
      <c r="E118" s="5"/>
    </row>
    <row r="119" spans="1:5" x14ac:dyDescent="0.3">
      <c r="A119" s="21" t="s">
        <v>40</v>
      </c>
      <c r="B119" s="35">
        <v>139.78593562231754</v>
      </c>
      <c r="C119" s="4"/>
      <c r="D119" s="4"/>
      <c r="E119" s="5"/>
    </row>
    <row r="120" spans="1:5" ht="16.2" thickBot="1" x14ac:dyDescent="0.35">
      <c r="A120" s="22" t="s">
        <v>16</v>
      </c>
      <c r="B120" s="36">
        <v>142.3825414473686</v>
      </c>
      <c r="C120" s="4"/>
      <c r="D120" s="4"/>
      <c r="E120" s="5"/>
    </row>
    <row r="121" spans="1:5" x14ac:dyDescent="0.3">
      <c r="C121" s="4"/>
      <c r="D121" s="4"/>
      <c r="E121" s="5"/>
    </row>
    <row r="122" spans="1:5" ht="16.2" thickBot="1" x14ac:dyDescent="0.35">
      <c r="C122" s="4"/>
      <c r="D122" s="4"/>
      <c r="E122" s="5"/>
    </row>
    <row r="123" spans="1:5" x14ac:dyDescent="0.3">
      <c r="A123" s="3"/>
      <c r="B123" s="4"/>
      <c r="C123" s="4"/>
      <c r="D123" s="4"/>
      <c r="E123" s="5"/>
    </row>
    <row r="124" spans="1:5" x14ac:dyDescent="0.3">
      <c r="A124" s="3"/>
      <c r="B124" s="4"/>
      <c r="C124" s="4"/>
      <c r="D124" s="4"/>
      <c r="E124" s="5"/>
    </row>
    <row r="125" spans="1:5" x14ac:dyDescent="0.3">
      <c r="A125" s="3"/>
      <c r="B125" s="4"/>
      <c r="C125" s="4"/>
      <c r="D125" s="4"/>
      <c r="E125" s="5"/>
    </row>
    <row r="126" spans="1:5" x14ac:dyDescent="0.3">
      <c r="A126" s="3"/>
      <c r="B126" s="4"/>
      <c r="C126" s="4"/>
      <c r="D126" s="4"/>
      <c r="E126" s="5"/>
    </row>
    <row r="127" spans="1:5" x14ac:dyDescent="0.3">
      <c r="A127" s="3"/>
      <c r="B127" s="4"/>
      <c r="C127" s="4"/>
      <c r="D127" s="4"/>
      <c r="E127" s="5"/>
    </row>
    <row r="128" spans="1:5" x14ac:dyDescent="0.3">
      <c r="A128" s="3"/>
      <c r="B128" s="4"/>
      <c r="C128" s="4"/>
      <c r="D128" s="4"/>
      <c r="E128" s="5"/>
    </row>
    <row r="129" spans="1:5" x14ac:dyDescent="0.3">
      <c r="A129" s="3"/>
      <c r="B129" s="4"/>
      <c r="C129" s="4"/>
      <c r="D129" s="4"/>
      <c r="E129" s="5"/>
    </row>
    <row r="130" spans="1:5" ht="16.2" thickBot="1" x14ac:dyDescent="0.35">
      <c r="A130" s="3"/>
      <c r="B130" s="4"/>
      <c r="C130" s="4"/>
      <c r="D130" s="4"/>
      <c r="E130" s="5"/>
    </row>
    <row r="131" spans="1:5" ht="16.2" thickBot="1" x14ac:dyDescent="0.35">
      <c r="A131" s="20" t="s">
        <v>1621</v>
      </c>
      <c r="B131" s="17" t="s">
        <v>1628</v>
      </c>
      <c r="C131" s="4"/>
      <c r="D131" s="4"/>
      <c r="E131" s="5"/>
    </row>
    <row r="132" spans="1:5" x14ac:dyDescent="0.3">
      <c r="A132" s="21" t="s">
        <v>40</v>
      </c>
      <c r="B132" s="37">
        <v>233</v>
      </c>
      <c r="C132" s="4"/>
      <c r="D132" s="4"/>
      <c r="E132" s="5"/>
    </row>
    <row r="133" spans="1:5" ht="16.2" thickBot="1" x14ac:dyDescent="0.35">
      <c r="A133" s="22" t="s">
        <v>16</v>
      </c>
      <c r="B133" s="38">
        <v>1520</v>
      </c>
      <c r="C133" s="4"/>
      <c r="D133" s="4"/>
      <c r="E133" s="5"/>
    </row>
    <row r="134" spans="1:5" x14ac:dyDescent="0.3">
      <c r="C134" s="4"/>
      <c r="D134" s="4"/>
      <c r="E134" s="5"/>
    </row>
    <row r="135" spans="1:5" ht="16.2" thickBot="1" x14ac:dyDescent="0.35">
      <c r="C135" s="4"/>
      <c r="D135" s="4"/>
      <c r="E135" s="5"/>
    </row>
    <row r="136" spans="1:5" x14ac:dyDescent="0.3">
      <c r="A136" s="3"/>
      <c r="B136" s="4"/>
      <c r="C136" s="4"/>
      <c r="D136" s="4"/>
      <c r="E136" s="5"/>
    </row>
    <row r="137" spans="1:5" x14ac:dyDescent="0.3">
      <c r="A137" s="3"/>
      <c r="B137" s="4"/>
      <c r="C137" s="4"/>
      <c r="D137" s="4"/>
      <c r="E137" s="5"/>
    </row>
    <row r="138" spans="1:5" ht="16.2" thickBot="1" x14ac:dyDescent="0.35">
      <c r="A138" s="18"/>
      <c r="B138" s="19"/>
      <c r="C138" s="19"/>
      <c r="D138" s="19"/>
      <c r="E138" s="8"/>
    </row>
  </sheetData>
  <mergeCells count="8">
    <mergeCell ref="A117:E117"/>
    <mergeCell ref="A2:D2"/>
    <mergeCell ref="A11:D11"/>
    <mergeCell ref="A21:D21"/>
    <mergeCell ref="A32:I32"/>
    <mergeCell ref="A55:I55"/>
    <mergeCell ref="A71:G71"/>
    <mergeCell ref="A106:E106"/>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D1" zoomScale="67" zoomScaleNormal="67" workbookViewId="0">
      <selection activeCell="AC18" sqref="AC18"/>
    </sheetView>
  </sheetViews>
  <sheetFormatPr defaultRowHeight="15.6" x14ac:dyDescent="0.3"/>
  <sheetData>
    <row r="1" ht="10.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workbookViewId="0">
      <selection activeCell="A4" sqref="A4"/>
    </sheetView>
  </sheetViews>
  <sheetFormatPr defaultRowHeight="15.6" x14ac:dyDescent="0.3"/>
  <cols>
    <col min="1" max="1" width="17.19921875" bestFit="1" customWidth="1"/>
    <col min="2" max="2" width="17.19921875" customWidth="1"/>
    <col min="3" max="3" width="15" customWidth="1"/>
    <col min="4" max="4" width="19.09765625" bestFit="1" customWidth="1"/>
    <col min="5" max="5" width="25.19921875" bestFit="1" customWidth="1"/>
    <col min="6" max="6" width="16.59765625" customWidth="1"/>
    <col min="7" max="7" width="20.59765625" bestFit="1" customWidth="1"/>
    <col min="8" max="8" width="12" customWidth="1"/>
    <col min="9" max="9" width="17.296875" bestFit="1" customWidth="1"/>
    <col min="10" max="10" width="14.3984375" customWidth="1"/>
    <col min="11" max="11" width="13.19921875" bestFit="1" customWidth="1"/>
    <col min="12" max="12" width="8.8984375" bestFit="1" customWidth="1"/>
    <col min="13" max="13" width="8.19921875" bestFit="1" customWidth="1"/>
  </cols>
  <sheetData>
    <row r="1" spans="1:13" x14ac:dyDescent="0.3">
      <c r="A1" t="s">
        <v>0</v>
      </c>
      <c r="B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Prachi</cp:lastModifiedBy>
  <dcterms:created xsi:type="dcterms:W3CDTF">2024-06-23T13:11:17Z</dcterms:created>
  <dcterms:modified xsi:type="dcterms:W3CDTF">2026-07-17T13:10:04Z</dcterms:modified>
</cp:coreProperties>
</file>